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esktop\"/>
    </mc:Choice>
  </mc:AlternateContent>
  <xr:revisionPtr revIDLastSave="0" documentId="8_{434DAAE7-9D3F-4ACA-8E97-AF3EAEAD4F3C}" xr6:coauthVersionLast="47" xr6:coauthVersionMax="47" xr10:uidLastSave="{00000000-0000-0000-0000-000000000000}"/>
  <bookViews>
    <workbookView xWindow="-108" yWindow="-108" windowWidth="23256" windowHeight="12456" xr2:uid="{895D5412-8356-491C-9466-66C3EC38AB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1" i="1" l="1"/>
  <c r="M201" i="1"/>
  <c r="L201" i="1"/>
  <c r="O200" i="1"/>
  <c r="M200" i="1"/>
  <c r="L200" i="1"/>
  <c r="D200" i="1"/>
  <c r="N200" i="1" s="1"/>
  <c r="O199" i="1"/>
  <c r="N199" i="1"/>
  <c r="L199" i="1"/>
  <c r="O198" i="1"/>
  <c r="N198" i="1"/>
  <c r="M198" i="1"/>
  <c r="C192" i="1"/>
  <c r="I191" i="1"/>
  <c r="H191" i="1"/>
  <c r="G191" i="1"/>
  <c r="C191" i="1"/>
  <c r="C190" i="1"/>
  <c r="C189" i="1"/>
  <c r="F191" i="1" s="1"/>
  <c r="C182" i="1"/>
  <c r="E201" i="1" s="1"/>
  <c r="O201" i="1" s="1"/>
  <c r="C181" i="1"/>
  <c r="C180" i="1"/>
  <c r="C199" i="1" s="1"/>
  <c r="M199" i="1" s="1"/>
  <c r="C179" i="1"/>
  <c r="B198" i="1" s="1"/>
  <c r="E76" i="1"/>
  <c r="D75" i="1"/>
  <c r="B92" i="1" s="1" a="1"/>
  <c r="B92" i="1" s="1"/>
  <c r="C74" i="1"/>
  <c r="B73" i="1"/>
  <c r="B79" i="1" s="1" a="1"/>
  <c r="F45" i="1"/>
  <c r="E45" i="1"/>
  <c r="D45" i="1"/>
  <c r="C45" i="1"/>
  <c r="F40" i="1"/>
  <c r="E40" i="1"/>
  <c r="D40" i="1"/>
  <c r="C40" i="1"/>
  <c r="E21" i="1"/>
  <c r="K13" i="1" s="1"/>
  <c r="D21" i="1"/>
  <c r="C21" i="1"/>
  <c r="B21" i="1"/>
  <c r="H12" i="1" s="1"/>
  <c r="E20" i="1"/>
  <c r="D20" i="1"/>
  <c r="E146" i="1" s="1"/>
  <c r="C20" i="1"/>
  <c r="D146" i="1" s="1"/>
  <c r="B20" i="1"/>
  <c r="C146" i="1" s="1"/>
  <c r="I19" i="1"/>
  <c r="I18" i="1"/>
  <c r="I17" i="1"/>
  <c r="K16" i="1"/>
  <c r="I16" i="1"/>
  <c r="K15" i="1"/>
  <c r="I15" i="1"/>
  <c r="H15" i="1"/>
  <c r="H14" i="1"/>
  <c r="J13" i="1"/>
  <c r="J12" i="1"/>
  <c r="I12" i="1"/>
  <c r="I11" i="1"/>
  <c r="I10" i="1"/>
  <c r="I9" i="1"/>
  <c r="K8" i="1"/>
  <c r="I8" i="1"/>
  <c r="H8" i="1"/>
  <c r="K7" i="1"/>
  <c r="I7" i="1"/>
  <c r="H7" i="1"/>
  <c r="H6" i="1"/>
  <c r="J5" i="1"/>
  <c r="J4" i="1"/>
  <c r="I4" i="1"/>
  <c r="H4" i="1"/>
  <c r="I3" i="1"/>
  <c r="I2" i="1"/>
  <c r="D83" i="1" l="1"/>
  <c r="D103" i="1" s="1"/>
  <c r="E101" i="1"/>
  <c r="C83" i="1"/>
  <c r="C103" i="1" s="1"/>
  <c r="B79" i="1"/>
  <c r="B109" i="1" a="1"/>
  <c r="E104" i="1"/>
  <c r="E83" i="1"/>
  <c r="E102" i="1" s="1"/>
  <c r="L8" i="1"/>
  <c r="L4" i="1"/>
  <c r="L198" i="1"/>
  <c r="G198" i="1" a="1"/>
  <c r="L7" i="1"/>
  <c r="J2" i="1"/>
  <c r="K2" i="1"/>
  <c r="J7" i="1"/>
  <c r="H9" i="1"/>
  <c r="K10" i="1"/>
  <c r="J15" i="1"/>
  <c r="L15" i="1" s="1"/>
  <c r="H17" i="1"/>
  <c r="K18" i="1"/>
  <c r="F146" i="1"/>
  <c r="C149" i="1" s="1" a="1"/>
  <c r="H3" i="1"/>
  <c r="K4" i="1"/>
  <c r="I6" i="1"/>
  <c r="J9" i="1"/>
  <c r="H11" i="1"/>
  <c r="L11" i="1" s="1"/>
  <c r="K12" i="1"/>
  <c r="L12" i="1" s="1"/>
  <c r="I14" i="1"/>
  <c r="L14" i="1" s="1"/>
  <c r="J17" i="1"/>
  <c r="H19" i="1"/>
  <c r="H5" i="1"/>
  <c r="J11" i="1"/>
  <c r="H13" i="1"/>
  <c r="K14" i="1"/>
  <c r="J19" i="1"/>
  <c r="J6" i="1"/>
  <c r="L6" i="1" s="1"/>
  <c r="K9" i="1"/>
  <c r="J14" i="1"/>
  <c r="H16" i="1"/>
  <c r="K17" i="1"/>
  <c r="J3" i="1"/>
  <c r="K6" i="1"/>
  <c r="H2" i="1"/>
  <c r="K3" i="1"/>
  <c r="I5" i="1"/>
  <c r="J8" i="1"/>
  <c r="H10" i="1"/>
  <c r="L10" i="1" s="1"/>
  <c r="K11" i="1"/>
  <c r="I13" i="1"/>
  <c r="J16" i="1"/>
  <c r="H18" i="1"/>
  <c r="K19" i="1"/>
  <c r="K5" i="1"/>
  <c r="J10" i="1"/>
  <c r="J18" i="1"/>
  <c r="C149" i="1" l="1"/>
  <c r="B27" i="1" a="1"/>
  <c r="B27" i="1" s="1"/>
  <c r="L2" i="1"/>
  <c r="B50" i="1" a="1"/>
  <c r="L17" i="1"/>
  <c r="L13" i="1"/>
  <c r="C104" i="1"/>
  <c r="C101" i="1"/>
  <c r="L18" i="1"/>
  <c r="E103" i="1"/>
  <c r="C102" i="1"/>
  <c r="L9" i="1"/>
  <c r="G146" i="1"/>
  <c r="F151" i="1" s="1"/>
  <c r="D102" i="1"/>
  <c r="G198" i="1"/>
  <c r="C209" i="1" s="1" a="1"/>
  <c r="L16" i="1"/>
  <c r="L5" i="1"/>
  <c r="D104" i="1"/>
  <c r="D101" i="1"/>
  <c r="D117" i="1"/>
  <c r="D115" i="1"/>
  <c r="C117" i="1"/>
  <c r="C115" i="1"/>
  <c r="B117" i="1"/>
  <c r="E118" i="1"/>
  <c r="E116" i="1"/>
  <c r="B109" i="1"/>
  <c r="B115" i="1" s="1"/>
  <c r="D118" i="1"/>
  <c r="D116" i="1"/>
  <c r="C118" i="1"/>
  <c r="C116" i="1"/>
  <c r="B118" i="1"/>
  <c r="B116" i="1"/>
  <c r="E117" i="1"/>
  <c r="E115" i="1"/>
  <c r="B83" i="1"/>
  <c r="L19" i="1"/>
  <c r="L3" i="1"/>
  <c r="F219" i="1" l="1"/>
  <c r="F217" i="1"/>
  <c r="E219" i="1"/>
  <c r="E217" i="1"/>
  <c r="D219" i="1"/>
  <c r="D217" i="1"/>
  <c r="C219" i="1"/>
  <c r="F220" i="1"/>
  <c r="F218" i="1"/>
  <c r="C209" i="1"/>
  <c r="C217" i="1" s="1"/>
  <c r="E220" i="1"/>
  <c r="E218" i="1"/>
  <c r="D220" i="1"/>
  <c r="D218" i="1"/>
  <c r="C220" i="1"/>
  <c r="C218" i="1"/>
  <c r="C151" i="1"/>
  <c r="D139" i="1"/>
  <c r="D137" i="1"/>
  <c r="D135" i="1"/>
  <c r="D133" i="1"/>
  <c r="D131" i="1"/>
  <c r="D129" i="1"/>
  <c r="D125" i="1"/>
  <c r="D123" i="1"/>
  <c r="C139" i="1"/>
  <c r="C137" i="1"/>
  <c r="C135" i="1"/>
  <c r="C133" i="1"/>
  <c r="C131" i="1"/>
  <c r="C129" i="1"/>
  <c r="C125" i="1"/>
  <c r="C123" i="1"/>
  <c r="B139" i="1"/>
  <c r="B137" i="1"/>
  <c r="B135" i="1"/>
  <c r="B133" i="1"/>
  <c r="B131" i="1"/>
  <c r="B129" i="1"/>
  <c r="B127" i="1"/>
  <c r="B125" i="1"/>
  <c r="D68" i="1"/>
  <c r="D127" i="1" s="1"/>
  <c r="E140" i="1"/>
  <c r="E138" i="1"/>
  <c r="E136" i="1"/>
  <c r="E134" i="1"/>
  <c r="E132" i="1"/>
  <c r="E130" i="1"/>
  <c r="E128" i="1"/>
  <c r="E126" i="1"/>
  <c r="E124" i="1"/>
  <c r="C68" i="1"/>
  <c r="C127" i="1" s="1"/>
  <c r="D140" i="1"/>
  <c r="D138" i="1"/>
  <c r="D136" i="1"/>
  <c r="D134" i="1"/>
  <c r="D132" i="1"/>
  <c r="D130" i="1"/>
  <c r="D128" i="1"/>
  <c r="D126" i="1"/>
  <c r="D124" i="1"/>
  <c r="C140" i="1"/>
  <c r="C138" i="1"/>
  <c r="C136" i="1"/>
  <c r="C134" i="1"/>
  <c r="C132" i="1"/>
  <c r="C130" i="1"/>
  <c r="C128" i="1"/>
  <c r="C126" i="1"/>
  <c r="C124" i="1"/>
  <c r="B50" i="1"/>
  <c r="B140" i="1"/>
  <c r="B138" i="1"/>
  <c r="B136" i="1"/>
  <c r="B134" i="1"/>
  <c r="B132" i="1"/>
  <c r="B130" i="1"/>
  <c r="B128" i="1"/>
  <c r="B126" i="1"/>
  <c r="B124" i="1"/>
  <c r="E139" i="1"/>
  <c r="E137" i="1"/>
  <c r="E135" i="1"/>
  <c r="E133" i="1"/>
  <c r="E131" i="1"/>
  <c r="E129" i="1"/>
  <c r="E125" i="1"/>
  <c r="E123" i="1"/>
  <c r="E68" i="1"/>
  <c r="E127" i="1" s="1"/>
  <c r="D151" i="1"/>
  <c r="B104" i="1"/>
  <c r="B103" i="1"/>
  <c r="B102" i="1"/>
  <c r="E151" i="1"/>
  <c r="B101" i="1"/>
  <c r="H223" i="1" l="1" a="1"/>
  <c r="H223" i="1" s="1"/>
  <c r="C223" i="1" a="1"/>
  <c r="C223" i="1" s="1"/>
  <c r="B123" i="1"/>
  <c r="B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<sst xmlns="http://schemas.openxmlformats.org/spreadsheetml/2006/main" count="139" uniqueCount="86">
  <si>
    <t>X1</t>
  </si>
  <si>
    <t>X2</t>
  </si>
  <si>
    <t>X3</t>
  </si>
  <si>
    <t>X4</t>
  </si>
  <si>
    <t>X centrada</t>
  </si>
  <si>
    <t>promedio</t>
  </si>
  <si>
    <t xml:space="preserve">desv.estandar </t>
  </si>
  <si>
    <t xml:space="preserve">1) Considere la matriz </t>
  </si>
  <si>
    <t>1a) Z3 como combinacion lineal de las variables X es Z3=D1x1+D2X2+d3X3+d4X4. Los valores d1,d2,d3,d4 en este orden son</t>
  </si>
  <si>
    <t>R= X'X/n</t>
  </si>
  <si>
    <t>A</t>
  </si>
  <si>
    <t>Valores propios</t>
  </si>
  <si>
    <t>d1</t>
  </si>
  <si>
    <t>d2</t>
  </si>
  <si>
    <t>d3</t>
  </si>
  <si>
    <t>d4</t>
  </si>
  <si>
    <t xml:space="preserve">1b) X4 como combinaion lineal de las variables Z es X4=h1Z1+h2Z2+h3Z3+h4Z4. Los valores h1,h2,h3,h4 en este orden son </t>
  </si>
  <si>
    <t>h1</t>
  </si>
  <si>
    <t>h2</t>
  </si>
  <si>
    <t>h3</t>
  </si>
  <si>
    <t>h4</t>
  </si>
  <si>
    <t>1c) Las coordenadas del individuo 7 en los ejes Z1,Z2,Z3,Z4 son</t>
  </si>
  <si>
    <t>Z</t>
  </si>
  <si>
    <t>Suma Cuadrados</t>
  </si>
  <si>
    <t xml:space="preserve">1d) En los ejes (G1,G2,G3,G4) las coordenadas de X4 son </t>
  </si>
  <si>
    <t>D 1^/2= raiz(valores propios)</t>
  </si>
  <si>
    <t>G1</t>
  </si>
  <si>
    <t>G2</t>
  </si>
  <si>
    <t>G3</t>
  </si>
  <si>
    <t>G4</t>
  </si>
  <si>
    <t>1e) La correlacion de Z3 y X4 es igual a</t>
  </si>
  <si>
    <t>Nzk</t>
  </si>
  <si>
    <t>eje 1</t>
  </si>
  <si>
    <t>eje 2</t>
  </si>
  <si>
    <t>eje 3</t>
  </si>
  <si>
    <t>eje 4</t>
  </si>
  <si>
    <t>1f) La contribucion absoluta de X4 a formar el eje 2, es</t>
  </si>
  <si>
    <t>1g) La calidad de la representacion de X4 en el plano 1-2, es</t>
  </si>
  <si>
    <t>correlacion de nkj</t>
  </si>
  <si>
    <t>1h) La calidad de la representacion del individuo 7 en el plano 2-4 es</t>
  </si>
  <si>
    <t>1i) La contribucion relativa  del individuo suplementario A=(6,7 , 6,7, 5,5,6,2) en el plano 2-4 es</t>
  </si>
  <si>
    <t>X_A</t>
  </si>
  <si>
    <t>suma cuadrados</t>
  </si>
  <si>
    <t>X_Ac</t>
  </si>
  <si>
    <t>Z_A</t>
  </si>
  <si>
    <t>eje1</t>
  </si>
  <si>
    <t>eje2</t>
  </si>
  <si>
    <t>eje3</t>
  </si>
  <si>
    <t>eje4</t>
  </si>
  <si>
    <t>CR</t>
  </si>
  <si>
    <t>2) Datos parciales</t>
  </si>
  <si>
    <t>n</t>
  </si>
  <si>
    <t>p</t>
  </si>
  <si>
    <t>beta2</t>
  </si>
  <si>
    <t>beta3</t>
  </si>
  <si>
    <t>beta4</t>
  </si>
  <si>
    <t>eta1-3</t>
  </si>
  <si>
    <t>R</t>
  </si>
  <si>
    <t>eta2-3</t>
  </si>
  <si>
    <t>R1</t>
  </si>
  <si>
    <t>R2</t>
  </si>
  <si>
    <t>R3</t>
  </si>
  <si>
    <t>R4</t>
  </si>
  <si>
    <t>eta3-3</t>
  </si>
  <si>
    <t>eta 4-3</t>
  </si>
  <si>
    <t>N</t>
  </si>
  <si>
    <t>Z1</t>
  </si>
  <si>
    <t>Z2</t>
  </si>
  <si>
    <t>Z3</t>
  </si>
  <si>
    <t>Z4</t>
  </si>
  <si>
    <t>2a) Calculo de lambdas</t>
  </si>
  <si>
    <t>lambda 1</t>
  </si>
  <si>
    <t>lambda 2</t>
  </si>
  <si>
    <t>lambda 3</t>
  </si>
  <si>
    <t>lambda 4</t>
  </si>
  <si>
    <t>2b) coordenada G31,G32,G33,G34</t>
  </si>
  <si>
    <t>G31</t>
  </si>
  <si>
    <t>G32</t>
  </si>
  <si>
    <t>G33</t>
  </si>
  <si>
    <t>G34</t>
  </si>
  <si>
    <t>2c) La matriz A</t>
  </si>
  <si>
    <t>D^1/2</t>
  </si>
  <si>
    <t>D^-1/2</t>
  </si>
  <si>
    <t>D</t>
  </si>
  <si>
    <t>2d) Matriz de correlacion</t>
  </si>
  <si>
    <t>lambda*A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</si>
</sst>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4" borderId="0" xfId="0" applyFill="1"/>
    <xf numFmtId="2" fontId="0" fillId="3" borderId="1" xfId="0" applyNumberFormat="1" applyFill="1" applyBorder="1"/>
    <xf numFmtId="10" fontId="0" fillId="0" borderId="1" xfId="1" applyNumberFormat="1" applyFont="1" applyBorder="1"/>
    <xf numFmtId="10" fontId="0" fillId="3" borderId="1" xfId="1" applyNumberFormat="1" applyFont="1" applyFill="1" applyBorder="1"/>
    <xf numFmtId="9" fontId="0" fillId="0" borderId="0" xfId="1" applyFont="1" applyBorder="1"/>
    <xf numFmtId="10" fontId="0" fillId="0" borderId="0" xfId="1" applyNumberFormat="1" applyFont="1" applyFill="1" applyBorder="1"/>
    <xf numFmtId="0" fontId="0" fillId="0" borderId="0" xfId="1" applyNumberFormat="1" applyFont="1" applyBorder="1"/>
    <xf numFmtId="9" fontId="0" fillId="0" borderId="1" xfId="1" applyFont="1" applyBorder="1"/>
    <xf numFmtId="165" fontId="0" fillId="0" borderId="1" xfId="1" applyNumberFormat="1" applyFont="1" applyBorder="1"/>
    <xf numFmtId="165" fontId="0" fillId="3" borderId="1" xfId="1" applyNumberFormat="1" applyFont="1" applyFill="1" applyBorder="1"/>
    <xf numFmtId="9" fontId="0" fillId="4" borderId="0" xfId="1" applyFont="1" applyFill="1" applyBorder="1"/>
    <xf numFmtId="0" fontId="0" fillId="0" borderId="1" xfId="1" applyNumberFormat="1" applyFont="1" applyBorder="1"/>
    <xf numFmtId="0" fontId="0" fillId="5" borderId="0" xfId="0" applyFill="1"/>
    <xf numFmtId="0" fontId="0" fillId="0" borderId="0" xfId="0" applyAlignment="1">
      <alignment horizontal="center"/>
    </xf>
    <xf numFmtId="164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46181</xdr:colOff>
      <xdr:row>76</xdr:row>
      <xdr:rowOff>53878</xdr:rowOff>
    </xdr:from>
    <xdr:ext cx="1209675" cy="2744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2 CuadroTexto">
              <a:extLst>
                <a:ext uri="{FF2B5EF4-FFF2-40B4-BE49-F238E27FC236}">
                  <a16:creationId xmlns:a16="http://schemas.microsoft.com/office/drawing/2014/main" id="{50D0DE10-E417-45FB-B9EE-AACDABE4A417}"/>
                </a:ext>
              </a:extLst>
            </xdr:cNvPr>
            <xdr:cNvSpPr txBox="1"/>
          </xdr:nvSpPr>
          <xdr:spPr>
            <a:xfrm>
              <a:off x="3703781" y="13952758"/>
              <a:ext cx="1209675" cy="2744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r"/>
              <a:r>
                <a:rPr lang="es-ES" sz="1100" b="1"/>
                <a:t>G=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s-ES" sz="1100" b="1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r>
                        <a:rPr lang="es-ES" sz="1100" b="1" i="1">
                          <a:latin typeface="Cambria Math"/>
                        </a:rPr>
                        <m:t>𝒏</m:t>
                      </m:r>
                    </m:e>
                  </m:rad>
                  <m:sSup>
                    <m:sSupPr>
                      <m:ctrlPr>
                        <a:rPr lang="es-ES" sz="11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ES" sz="1100" b="1" i="0">
                          <a:latin typeface="Cambria Math"/>
                        </a:rPr>
                        <m:t>𝐀𝐃</m:t>
                      </m:r>
                    </m:e>
                    <m:sup>
                      <m:r>
                        <a:rPr lang="es-ES" sz="1100" b="1" i="0">
                          <a:latin typeface="Cambria Math"/>
                        </a:rPr>
                        <m:t>𝟏</m:t>
                      </m:r>
                      <m:r>
                        <a:rPr lang="es-ES" sz="1100" b="1" i="0">
                          <a:latin typeface="Cambria Math"/>
                        </a:rPr>
                        <m:t>/</m:t>
                      </m:r>
                      <m:r>
                        <a:rPr lang="es-ES" sz="1100" b="1" i="0">
                          <a:latin typeface="Cambria Math"/>
                        </a:rPr>
                        <m:t>𝟐</m:t>
                      </m:r>
                    </m:sup>
                  </m:sSup>
                </m:oMath>
              </a14:m>
              <a:endParaRPr lang="es-EC" sz="1100" b="1" i="0"/>
            </a:p>
          </xdr:txBody>
        </xdr:sp>
      </mc:Choice>
      <mc:Fallback>
        <xdr:sp macro="" textlink="">
          <xdr:nvSpPr>
            <xdr:cNvPr id="2" name="2 CuadroTexto">
              <a:extLst>
                <a:ext uri="{FF2B5EF4-FFF2-40B4-BE49-F238E27FC236}">
                  <a16:creationId xmlns:a16="http://schemas.microsoft.com/office/drawing/2014/main" id="{50D0DE10-E417-45FB-B9EE-AACDABE4A417}"/>
                </a:ext>
              </a:extLst>
            </xdr:cNvPr>
            <xdr:cNvSpPr txBox="1"/>
          </xdr:nvSpPr>
          <xdr:spPr>
            <a:xfrm>
              <a:off x="3703781" y="13952758"/>
              <a:ext cx="1209675" cy="2744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r"/>
              <a:r>
                <a:rPr lang="es-ES" sz="1100" b="1"/>
                <a:t>G=</a:t>
              </a:r>
              <a:r>
                <a:rPr lang="es-ES" sz="1100" b="1" i="0">
                  <a:latin typeface="Cambria Math" panose="02040503050406030204" pitchFamily="18" charset="0"/>
                </a:rPr>
                <a:t>√</a:t>
              </a:r>
              <a:r>
                <a:rPr lang="es-ES" sz="1100" b="1" i="0">
                  <a:latin typeface="Cambria Math"/>
                </a:rPr>
                <a:t>𝒏</a:t>
              </a:r>
              <a:r>
                <a:rPr lang="es-ES" sz="1100" b="1" i="0">
                  <a:latin typeface="Cambria Math" panose="02040503050406030204" pitchFamily="18" charset="0"/>
                </a:rPr>
                <a:t> 〖</a:t>
              </a:r>
              <a:r>
                <a:rPr lang="es-ES" sz="1100" b="1" i="0">
                  <a:latin typeface="Cambria Math"/>
                </a:rPr>
                <a:t>𝐀𝐃</a:t>
              </a:r>
              <a:r>
                <a:rPr lang="es-ES" sz="1100" b="1" i="0">
                  <a:latin typeface="Cambria Math" panose="02040503050406030204" pitchFamily="18" charset="0"/>
                </a:rPr>
                <a:t>〗^(</a:t>
              </a:r>
              <a:r>
                <a:rPr lang="es-ES" sz="1100" b="1" i="0">
                  <a:latin typeface="Cambria Math"/>
                </a:rPr>
                <a:t>𝟏/𝟐</a:t>
              </a:r>
              <a:r>
                <a:rPr lang="es-ES" sz="1100" b="1" i="0">
                  <a:latin typeface="Cambria Math" panose="02040503050406030204" pitchFamily="18" charset="0"/>
                </a:rPr>
                <a:t>)</a:t>
              </a:r>
              <a:endParaRPr lang="es-EC" sz="1100" b="1" i="0"/>
            </a:p>
          </xdr:txBody>
        </xdr:sp>
      </mc:Fallback>
    </mc:AlternateContent>
    <xdr:clientData/>
  </xdr:oneCellAnchor>
  <xdr:twoCellAnchor editAs="oneCell">
    <xdr:from>
      <xdr:col>1</xdr:col>
      <xdr:colOff>669635</xdr:colOff>
      <xdr:row>86</xdr:row>
      <xdr:rowOff>46184</xdr:rowOff>
    </xdr:from>
    <xdr:to>
      <xdr:col>4</xdr:col>
      <xdr:colOff>231321</xdr:colOff>
      <xdr:row>87</xdr:row>
      <xdr:rowOff>146244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C429F3-81D6-46F7-988A-4E7641DE6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699" t="54504" r="22613" b="2673"/>
        <a:stretch>
          <a:fillRect/>
        </a:stretch>
      </xdr:blipFill>
      <xdr:spPr>
        <a:xfrm>
          <a:off x="1782155" y="15773864"/>
          <a:ext cx="1939126" cy="282940"/>
        </a:xfrm>
        <a:prstGeom prst="rect">
          <a:avLst/>
        </a:prstGeom>
      </xdr:spPr>
    </xdr:pic>
    <xdr:clientData/>
  </xdr:twoCellAnchor>
  <xdr:twoCellAnchor editAs="oneCell">
    <xdr:from>
      <xdr:col>1</xdr:col>
      <xdr:colOff>823574</xdr:colOff>
      <xdr:row>202</xdr:row>
      <xdr:rowOff>76970</xdr:rowOff>
    </xdr:from>
    <xdr:to>
      <xdr:col>7</xdr:col>
      <xdr:colOff>102109</xdr:colOff>
      <xdr:row>206</xdr:row>
      <xdr:rowOff>147799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ADC390E-8919-4B80-8714-EC6436F48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6094" y="37018730"/>
          <a:ext cx="4063895" cy="802349"/>
        </a:xfrm>
        <a:prstGeom prst="rect">
          <a:avLst/>
        </a:prstGeom>
      </xdr:spPr>
    </xdr:pic>
    <xdr:clientData/>
  </xdr:twoCellAnchor>
  <xdr:twoCellAnchor editAs="oneCell">
    <xdr:from>
      <xdr:col>1</xdr:col>
      <xdr:colOff>230911</xdr:colOff>
      <xdr:row>185</xdr:row>
      <xdr:rowOff>53880</xdr:rowOff>
    </xdr:from>
    <xdr:to>
      <xdr:col>6</xdr:col>
      <xdr:colOff>67350</xdr:colOff>
      <xdr:row>186</xdr:row>
      <xdr:rowOff>167496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1F48E3-1984-45D4-AA6A-360CFBBE7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431" y="33886680"/>
          <a:ext cx="3798839" cy="296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E9B1-C992-464B-9B2B-6F31FFD60F50}">
  <dimension ref="A1:O226"/>
  <sheetViews>
    <sheetView tabSelected="1" workbookViewId="0">
      <selection activeCell="G10" sqref="G10"/>
    </sheetView>
  </sheetViews>
  <sheetFormatPr baseColWidth="10" defaultRowHeight="14.4" x14ac:dyDescent="0.3"/>
  <sheetData>
    <row r="1" spans="2:12" x14ac:dyDescent="0.3">
      <c r="B1" t="s">
        <v>0</v>
      </c>
      <c r="C1" t="s">
        <v>1</v>
      </c>
      <c r="D1" t="s">
        <v>2</v>
      </c>
      <c r="E1" t="s">
        <v>3</v>
      </c>
      <c r="K1" t="s">
        <v>4</v>
      </c>
    </row>
    <row r="2" spans="2:12" x14ac:dyDescent="0.3">
      <c r="B2">
        <v>2.2000000000000002</v>
      </c>
      <c r="C2">
        <v>7</v>
      </c>
      <c r="D2">
        <v>0.6</v>
      </c>
      <c r="E2">
        <v>0.8</v>
      </c>
      <c r="H2">
        <f>+(B2-$B$20)/$B$21</f>
        <v>-2.0880158123564647</v>
      </c>
      <c r="I2">
        <f>+(C2-$C$20)/$C$21</f>
        <v>5.5014722809557763E-2</v>
      </c>
      <c r="J2">
        <f>+(D2-$D$20)/$D$21</f>
        <v>-1.9549988720648679</v>
      </c>
      <c r="K2">
        <f>+(E2-$E$20)/$E$21</f>
        <v>-1.9521368071405703</v>
      </c>
      <c r="L2">
        <f>+SUMSQ(H2:K2)</f>
        <v>11.995695355944324</v>
      </c>
    </row>
    <row r="3" spans="2:12" x14ac:dyDescent="0.3">
      <c r="B3">
        <v>5.0999999999999996</v>
      </c>
      <c r="C3">
        <v>2.7</v>
      </c>
      <c r="D3">
        <v>5.2</v>
      </c>
      <c r="E3">
        <v>7.3</v>
      </c>
      <c r="H3">
        <f t="shared" ref="H3:H19" si="0">+(B3-$B$20)/$B$21</f>
        <v>-0.74737097342648362</v>
      </c>
      <c r="I3">
        <f t="shared" ref="I3:I19" si="1">+(C3-$C$20)/$C$21</f>
        <v>-1.6482410953743456</v>
      </c>
      <c r="J3">
        <f t="shared" ref="J3:J19" si="2">+(D3-$D$20)/$D$21</f>
        <v>-0.13209451838276123</v>
      </c>
      <c r="K3">
        <f t="shared" ref="K3:K19" si="3">+(E3-$E$20)/$E$21</f>
        <v>0.39042736142811429</v>
      </c>
      <c r="L3">
        <f t="shared" ref="L3:L19" si="4">+SUMSQ(H3:K3)</f>
        <v>3.4451445667397649</v>
      </c>
    </row>
    <row r="4" spans="2:12" x14ac:dyDescent="0.3">
      <c r="B4">
        <v>5.4</v>
      </c>
      <c r="C4">
        <v>4.7</v>
      </c>
      <c r="D4">
        <v>2</v>
      </c>
      <c r="E4">
        <v>1.4</v>
      </c>
      <c r="H4">
        <f t="shared" si="0"/>
        <v>-0.60868357629579561</v>
      </c>
      <c r="I4">
        <f t="shared" si="1"/>
        <v>-0.85602908691671609</v>
      </c>
      <c r="J4">
        <f t="shared" si="2"/>
        <v>-1.4002018948572701</v>
      </c>
      <c r="K4">
        <f t="shared" si="3"/>
        <v>-1.7359001146573072</v>
      </c>
      <c r="L4">
        <f t="shared" si="4"/>
        <v>6.0771960481288483</v>
      </c>
    </row>
    <row r="5" spans="2:12" x14ac:dyDescent="0.3">
      <c r="B5">
        <v>3.1</v>
      </c>
      <c r="C5">
        <v>0.9</v>
      </c>
      <c r="D5">
        <v>4.7</v>
      </c>
      <c r="E5">
        <v>6.1</v>
      </c>
      <c r="H5">
        <f t="shared" si="0"/>
        <v>-1.6719536209644017</v>
      </c>
      <c r="I5">
        <f t="shared" si="1"/>
        <v>-2.3612319029862121</v>
      </c>
      <c r="J5">
        <f t="shared" si="2"/>
        <v>-0.33023629595690324</v>
      </c>
      <c r="K5">
        <f t="shared" si="3"/>
        <v>-4.2046023538412136E-2</v>
      </c>
      <c r="L5">
        <f t="shared" si="4"/>
        <v>8.4816688895985912</v>
      </c>
    </row>
    <row r="6" spans="2:12" x14ac:dyDescent="0.3">
      <c r="B6">
        <v>6.3</v>
      </c>
      <c r="C6">
        <v>5.5</v>
      </c>
      <c r="D6">
        <v>3.6</v>
      </c>
      <c r="E6">
        <v>2.8</v>
      </c>
      <c r="H6">
        <f t="shared" si="0"/>
        <v>-0.19262138490373268</v>
      </c>
      <c r="I6">
        <f t="shared" si="1"/>
        <v>-0.53914428353366439</v>
      </c>
      <c r="J6">
        <f t="shared" si="2"/>
        <v>-0.7661482066200157</v>
      </c>
      <c r="K6">
        <f t="shared" si="3"/>
        <v>-1.2313478321963596</v>
      </c>
      <c r="L6">
        <f t="shared" si="4"/>
        <v>2.4309801147510006</v>
      </c>
    </row>
    <row r="7" spans="2:12" x14ac:dyDescent="0.3">
      <c r="B7">
        <v>5.6</v>
      </c>
      <c r="C7">
        <v>5.0999999999999996</v>
      </c>
      <c r="D7">
        <v>3.3</v>
      </c>
      <c r="E7">
        <v>3.9</v>
      </c>
      <c r="H7">
        <f t="shared" si="0"/>
        <v>-0.51622531154200413</v>
      </c>
      <c r="I7">
        <f t="shared" si="1"/>
        <v>-0.69758668522519041</v>
      </c>
      <c r="J7">
        <f t="shared" si="2"/>
        <v>-0.88503327316450098</v>
      </c>
      <c r="K7">
        <f t="shared" si="3"/>
        <v>-0.83491389597704369</v>
      </c>
      <c r="L7">
        <f t="shared" si="4"/>
        <v>2.2334808639839441</v>
      </c>
    </row>
    <row r="8" spans="2:12" x14ac:dyDescent="0.3">
      <c r="B8">
        <v>7</v>
      </c>
      <c r="C8">
        <v>7.3</v>
      </c>
      <c r="D8">
        <v>4.7</v>
      </c>
      <c r="E8">
        <v>5.9</v>
      </c>
      <c r="H8">
        <f t="shared" si="0"/>
        <v>0.13098254173453877</v>
      </c>
      <c r="I8">
        <f t="shared" si="1"/>
        <v>0.17384652407820211</v>
      </c>
      <c r="J8">
        <f t="shared" si="2"/>
        <v>-0.33023629595690324</v>
      </c>
      <c r="K8">
        <f t="shared" si="3"/>
        <v>-0.11412492103283293</v>
      </c>
      <c r="L8">
        <f t="shared" si="4"/>
        <v>0.16945954894139886</v>
      </c>
    </row>
    <row r="9" spans="2:12" x14ac:dyDescent="0.3">
      <c r="B9">
        <v>5.0999999999999996</v>
      </c>
      <c r="C9">
        <v>5.4</v>
      </c>
      <c r="D9">
        <v>5.8</v>
      </c>
      <c r="E9">
        <v>5.4</v>
      </c>
      <c r="H9">
        <f t="shared" si="0"/>
        <v>-0.74737097342648362</v>
      </c>
      <c r="I9">
        <f t="shared" si="1"/>
        <v>-0.57875488395654573</v>
      </c>
      <c r="J9">
        <f t="shared" si="2"/>
        <v>0.10567561470620905</v>
      </c>
      <c r="K9">
        <f t="shared" si="3"/>
        <v>-0.29432216476888562</v>
      </c>
      <c r="L9">
        <f t="shared" si="4"/>
        <v>0.99131345984178254</v>
      </c>
    </row>
    <row r="10" spans="2:12" x14ac:dyDescent="0.3">
      <c r="B10">
        <v>6.5</v>
      </c>
      <c r="C10">
        <v>6.8</v>
      </c>
      <c r="D10">
        <v>4.2</v>
      </c>
      <c r="E10">
        <v>5.4</v>
      </c>
      <c r="H10">
        <f t="shared" si="0"/>
        <v>-0.10016312014994078</v>
      </c>
      <c r="I10">
        <f t="shared" si="1"/>
        <v>-2.4206478036205261E-2</v>
      </c>
      <c r="J10">
        <f t="shared" si="2"/>
        <v>-0.52837807353104527</v>
      </c>
      <c r="K10">
        <f t="shared" si="3"/>
        <v>-0.29432216476888562</v>
      </c>
      <c r="L10">
        <f t="shared" si="4"/>
        <v>0.37642752947971048</v>
      </c>
    </row>
    <row r="11" spans="2:12" x14ac:dyDescent="0.3">
      <c r="B11">
        <v>6.5</v>
      </c>
      <c r="C11">
        <v>6.9</v>
      </c>
      <c r="D11">
        <v>4.3</v>
      </c>
      <c r="E11">
        <v>5.6</v>
      </c>
      <c r="H11">
        <f t="shared" si="0"/>
        <v>-0.10016312014994078</v>
      </c>
      <c r="I11">
        <f t="shared" si="1"/>
        <v>1.5404122386676426E-2</v>
      </c>
      <c r="J11">
        <f t="shared" si="2"/>
        <v>-0.48874971801621697</v>
      </c>
      <c r="K11">
        <f t="shared" si="3"/>
        <v>-0.22224326727446478</v>
      </c>
      <c r="L11">
        <f t="shared" si="4"/>
        <v>0.29853829433443596</v>
      </c>
    </row>
    <row r="12" spans="2:12" x14ac:dyDescent="0.3">
      <c r="B12">
        <v>7.4</v>
      </c>
      <c r="C12">
        <v>7.4</v>
      </c>
      <c r="D12">
        <v>4.3</v>
      </c>
      <c r="E12">
        <v>5.9</v>
      </c>
      <c r="H12">
        <f t="shared" si="0"/>
        <v>0.31589907124212258</v>
      </c>
      <c r="I12">
        <f t="shared" si="1"/>
        <v>0.21345712450108381</v>
      </c>
      <c r="J12">
        <f t="shared" si="2"/>
        <v>-0.48874971801621697</v>
      </c>
      <c r="K12">
        <f t="shared" si="3"/>
        <v>-0.11412492103283293</v>
      </c>
      <c r="L12">
        <f t="shared" si="4"/>
        <v>0.39725695167358882</v>
      </c>
    </row>
    <row r="13" spans="2:12" x14ac:dyDescent="0.3">
      <c r="B13">
        <v>5.4</v>
      </c>
      <c r="C13">
        <v>6.9</v>
      </c>
      <c r="D13">
        <v>5.7</v>
      </c>
      <c r="E13">
        <v>5.0999999999999996</v>
      </c>
      <c r="H13">
        <f t="shared" si="0"/>
        <v>-0.60868357629579561</v>
      </c>
      <c r="I13">
        <f t="shared" si="1"/>
        <v>1.5404122386676426E-2</v>
      </c>
      <c r="J13">
        <f t="shared" si="2"/>
        <v>6.6047259191380783E-2</v>
      </c>
      <c r="K13">
        <f t="shared" si="3"/>
        <v>-0.40244051101051742</v>
      </c>
      <c r="L13">
        <f t="shared" si="4"/>
        <v>0.53705358838784312</v>
      </c>
    </row>
    <row r="14" spans="2:12" x14ac:dyDescent="0.3">
      <c r="B14">
        <v>8.6999999999999993</v>
      </c>
      <c r="C14">
        <v>8</v>
      </c>
      <c r="D14">
        <v>6</v>
      </c>
      <c r="E14">
        <v>7.9</v>
      </c>
      <c r="H14">
        <f t="shared" si="0"/>
        <v>0.9168777921417689</v>
      </c>
      <c r="I14">
        <f t="shared" si="1"/>
        <v>0.45112072703837253</v>
      </c>
      <c r="J14">
        <f t="shared" si="2"/>
        <v>0.18493232573586593</v>
      </c>
      <c r="K14">
        <f t="shared" si="3"/>
        <v>0.60666405391137768</v>
      </c>
      <c r="L14">
        <f t="shared" si="4"/>
        <v>1.4464160354966578</v>
      </c>
    </row>
    <row r="15" spans="2:12" x14ac:dyDescent="0.3">
      <c r="B15">
        <v>8.6</v>
      </c>
      <c r="C15">
        <v>9.5</v>
      </c>
      <c r="D15">
        <v>8.6999999999999993</v>
      </c>
      <c r="E15">
        <v>10.7</v>
      </c>
      <c r="H15">
        <f t="shared" si="0"/>
        <v>0.87064865976487316</v>
      </c>
      <c r="I15">
        <f t="shared" si="1"/>
        <v>1.0452797333815946</v>
      </c>
      <c r="J15">
        <f t="shared" si="2"/>
        <v>1.2548979246362326</v>
      </c>
      <c r="K15">
        <f t="shared" si="3"/>
        <v>1.6157686188332721</v>
      </c>
      <c r="L15">
        <f t="shared" si="4"/>
        <v>6.0361158406313704</v>
      </c>
    </row>
    <row r="16" spans="2:12" x14ac:dyDescent="0.3">
      <c r="B16">
        <v>8.5</v>
      </c>
      <c r="C16">
        <v>10</v>
      </c>
      <c r="D16">
        <v>9.5</v>
      </c>
      <c r="E16">
        <v>9.9</v>
      </c>
      <c r="H16">
        <f t="shared" si="0"/>
        <v>0.82441952738797741</v>
      </c>
      <c r="I16">
        <f t="shared" si="1"/>
        <v>1.243332735496002</v>
      </c>
      <c r="J16">
        <f t="shared" si="2"/>
        <v>1.5719247687548601</v>
      </c>
      <c r="K16">
        <f t="shared" si="3"/>
        <v>1.3274530288555884</v>
      </c>
      <c r="L16">
        <f t="shared" si="4"/>
        <v>6.4586228707374831</v>
      </c>
    </row>
    <row r="17" spans="1:12" x14ac:dyDescent="0.3">
      <c r="B17">
        <v>10.1</v>
      </c>
      <c r="C17">
        <v>8</v>
      </c>
      <c r="D17">
        <v>8.4</v>
      </c>
      <c r="E17">
        <v>9.6</v>
      </c>
      <c r="H17">
        <f t="shared" si="0"/>
        <v>1.5640856454183116</v>
      </c>
      <c r="I17">
        <f t="shared" si="1"/>
        <v>0.45112072703837253</v>
      </c>
      <c r="J17">
        <f t="shared" si="2"/>
        <v>1.1360128580917477</v>
      </c>
      <c r="K17">
        <f t="shared" si="3"/>
        <v>1.2193346826139564</v>
      </c>
      <c r="L17">
        <f t="shared" si="4"/>
        <v>5.4271760985423052</v>
      </c>
    </row>
    <row r="18" spans="1:12" x14ac:dyDescent="0.3">
      <c r="B18">
        <v>9.9</v>
      </c>
      <c r="C18">
        <v>11.3</v>
      </c>
      <c r="D18">
        <v>9.5</v>
      </c>
      <c r="E18">
        <v>8.9</v>
      </c>
      <c r="H18">
        <f t="shared" si="0"/>
        <v>1.4716273806645201</v>
      </c>
      <c r="I18">
        <f t="shared" si="1"/>
        <v>1.7582705409934616</v>
      </c>
      <c r="J18">
        <f t="shared" si="2"/>
        <v>1.5719247687548601</v>
      </c>
      <c r="K18">
        <f t="shared" si="3"/>
        <v>0.96705854138348302</v>
      </c>
      <c r="L18">
        <f t="shared" si="4"/>
        <v>8.663352143934727</v>
      </c>
    </row>
    <row r="19" spans="1:12" x14ac:dyDescent="0.3">
      <c r="B19">
        <v>9.5</v>
      </c>
      <c r="C19">
        <v>10.1</v>
      </c>
      <c r="D19">
        <v>9.1</v>
      </c>
      <c r="E19">
        <v>9.3000000000000007</v>
      </c>
      <c r="H19">
        <f t="shared" si="0"/>
        <v>1.2867108511569365</v>
      </c>
      <c r="I19">
        <f t="shared" si="1"/>
        <v>1.2829433359188833</v>
      </c>
      <c r="J19">
        <f t="shared" si="2"/>
        <v>1.4134113466955462</v>
      </c>
      <c r="K19">
        <f t="shared" si="3"/>
        <v>1.1112163363723253</v>
      </c>
      <c r="L19">
        <f t="shared" si="4"/>
        <v>6.5341017988521308</v>
      </c>
    </row>
    <row r="20" spans="1:12" x14ac:dyDescent="0.3">
      <c r="A20" t="s">
        <v>5</v>
      </c>
      <c r="B20">
        <f>+AVERAGE(B2:B19)</f>
        <v>6.7166666666666659</v>
      </c>
      <c r="C20">
        <f t="shared" ref="C20:E20" si="5">+AVERAGE(C2:C19)</f>
        <v>6.8611111111111107</v>
      </c>
      <c r="D20">
        <f t="shared" si="5"/>
        <v>5.5333333333333332</v>
      </c>
      <c r="E20">
        <f t="shared" si="5"/>
        <v>6.2166666666666659</v>
      </c>
    </row>
    <row r="21" spans="1:12" x14ac:dyDescent="0.3">
      <c r="A21" t="s">
        <v>6</v>
      </c>
      <c r="B21">
        <f>+_xlfn.STDEV.P(B2:B19)</f>
        <v>2.1631381524689255</v>
      </c>
      <c r="C21">
        <f t="shared" ref="C21:E21" si="6">+_xlfn.STDEV.P(C2:C19)</f>
        <v>2.5245767277547744</v>
      </c>
      <c r="D21">
        <f t="shared" si="6"/>
        <v>2.5234456161720193</v>
      </c>
      <c r="E21">
        <f t="shared" si="6"/>
        <v>2.7747372247956497</v>
      </c>
    </row>
    <row r="23" spans="1:12" x14ac:dyDescent="0.3">
      <c r="A23" t="s">
        <v>7</v>
      </c>
    </row>
    <row r="24" spans="1:12" x14ac:dyDescent="0.3">
      <c r="A24" s="1" t="s">
        <v>8</v>
      </c>
      <c r="B24" s="1"/>
      <c r="C24" s="1"/>
      <c r="D24" s="1"/>
      <c r="E24" s="1"/>
      <c r="F24" s="1"/>
      <c r="G24" s="1"/>
      <c r="H24" s="1"/>
      <c r="I24" s="1"/>
    </row>
    <row r="26" spans="1:12" x14ac:dyDescent="0.3">
      <c r="E26" s="2" t="s">
        <v>9</v>
      </c>
    </row>
    <row r="27" spans="1:12" x14ac:dyDescent="0.3">
      <c r="B27" s="2" cm="1">
        <f t="array" ref="B27:E30">+MMULT(TRANSPOSE(H2:K19),H2:K19)/18</f>
        <v>0.99999999999999778</v>
      </c>
      <c r="C27" s="2">
        <v>0.76981782443296087</v>
      </c>
      <c r="D27" s="2">
        <v>0.80230743100620194</v>
      </c>
      <c r="E27" s="2">
        <v>0.77014198859115091</v>
      </c>
    </row>
    <row r="28" spans="1:12" x14ac:dyDescent="0.3">
      <c r="B28" s="2">
        <v>0.76981782443296087</v>
      </c>
      <c r="C28" s="2">
        <v>0.99999999999999722</v>
      </c>
      <c r="D28" s="2">
        <v>0.63009039385280452</v>
      </c>
      <c r="E28" s="2">
        <v>0.52741149328974102</v>
      </c>
    </row>
    <row r="29" spans="1:12" x14ac:dyDescent="0.3">
      <c r="B29" s="2">
        <v>0.80230743100620194</v>
      </c>
      <c r="C29" s="2">
        <v>0.63009039385280452</v>
      </c>
      <c r="D29" s="2">
        <v>0.99999999999999922</v>
      </c>
      <c r="E29" s="2">
        <v>0.93855497617722472</v>
      </c>
    </row>
    <row r="30" spans="1:12" x14ac:dyDescent="0.3">
      <c r="B30" s="2">
        <v>0.77014198859115091</v>
      </c>
      <c r="C30" s="2">
        <v>0.52741149328974102</v>
      </c>
      <c r="D30" s="2">
        <v>0.93855497617722472</v>
      </c>
      <c r="E30" s="2">
        <v>1.0000000000000004</v>
      </c>
    </row>
    <row r="32" spans="1:12" x14ac:dyDescent="0.3">
      <c r="J32" t="s">
        <v>10</v>
      </c>
    </row>
    <row r="33" spans="1:10" x14ac:dyDescent="0.3">
      <c r="B33" t="s">
        <v>11</v>
      </c>
      <c r="D33" s="3">
        <v>3.2300217445673849</v>
      </c>
      <c r="G33" s="4">
        <v>-0.51800359002986873</v>
      </c>
      <c r="H33" s="4">
        <v>0.19506286382523511</v>
      </c>
      <c r="I33" s="4">
        <v>-0.82903990540993289</v>
      </c>
      <c r="J33" s="4">
        <v>7.9470718572030349E-2</v>
      </c>
    </row>
    <row r="34" spans="1:10" x14ac:dyDescent="0.3">
      <c r="D34" s="3">
        <v>0.55572040540982293</v>
      </c>
      <c r="G34" s="4">
        <v>-0.44691209445072538</v>
      </c>
      <c r="H34" s="4">
        <v>0.76076856562530404</v>
      </c>
      <c r="I34" s="4">
        <v>0.44301078110769349</v>
      </c>
      <c r="J34" s="4">
        <v>-0.1588779947394694</v>
      </c>
    </row>
    <row r="35" spans="1:10" x14ac:dyDescent="0.3">
      <c r="D35" s="3">
        <v>0.16270035636540248</v>
      </c>
      <c r="G35" s="4">
        <v>-0.52549963532679955</v>
      </c>
      <c r="H35" s="4">
        <v>-0.3439391588348526</v>
      </c>
      <c r="I35" s="4">
        <v>0.3156043320507792</v>
      </c>
      <c r="J35" s="4">
        <v>0.7113015491914495</v>
      </c>
    </row>
    <row r="36" spans="1:10" x14ac:dyDescent="0.3">
      <c r="D36" s="3">
        <v>5.1557493657384969E-2</v>
      </c>
      <c r="G36" s="4">
        <v>-0.50575882970170105</v>
      </c>
      <c r="H36" s="4">
        <v>-0.51467224884647644</v>
      </c>
      <c r="I36" s="4">
        <v>0.12972350847484115</v>
      </c>
      <c r="J36" s="4">
        <v>-0.68006785969861427</v>
      </c>
    </row>
    <row r="39" spans="1:10" x14ac:dyDescent="0.3">
      <c r="C39" s="2" t="s">
        <v>12</v>
      </c>
      <c r="D39" s="2" t="s">
        <v>13</v>
      </c>
      <c r="E39" s="2" t="s">
        <v>14</v>
      </c>
      <c r="F39" s="2" t="s">
        <v>15</v>
      </c>
    </row>
    <row r="40" spans="1:10" x14ac:dyDescent="0.3">
      <c r="C40" s="5">
        <f>+I33</f>
        <v>-0.82903990540993289</v>
      </c>
      <c r="D40" s="5">
        <f>+I34</f>
        <v>0.44301078110769349</v>
      </c>
      <c r="E40" s="5">
        <f>+I35</f>
        <v>0.3156043320507792</v>
      </c>
      <c r="F40" s="5">
        <f>+I36</f>
        <v>0.12972350847484115</v>
      </c>
    </row>
    <row r="42" spans="1:10" x14ac:dyDescent="0.3">
      <c r="A42" t="s">
        <v>16</v>
      </c>
    </row>
    <row r="44" spans="1:10" x14ac:dyDescent="0.3">
      <c r="C44" s="2" t="s">
        <v>17</v>
      </c>
      <c r="D44" s="2" t="s">
        <v>18</v>
      </c>
      <c r="E44" s="2" t="s">
        <v>19</v>
      </c>
      <c r="F44" s="2" t="s">
        <v>20</v>
      </c>
    </row>
    <row r="45" spans="1:10" x14ac:dyDescent="0.3">
      <c r="C45" s="5">
        <f>+G36</f>
        <v>-0.50575882970170105</v>
      </c>
      <c r="D45" s="5">
        <f t="shared" ref="D45:F45" si="7">+H36</f>
        <v>-0.51467224884647644</v>
      </c>
      <c r="E45" s="5">
        <f t="shared" si="7"/>
        <v>0.12972350847484115</v>
      </c>
      <c r="F45" s="5">
        <f t="shared" si="7"/>
        <v>-0.68006785969861427</v>
      </c>
    </row>
    <row r="48" spans="1:10" x14ac:dyDescent="0.3">
      <c r="A48" s="1" t="s">
        <v>21</v>
      </c>
      <c r="B48" s="1"/>
      <c r="C48" s="1"/>
      <c r="D48" s="1"/>
      <c r="E48" s="1"/>
      <c r="F48" s="1"/>
      <c r="G48" s="1"/>
    </row>
    <row r="49" spans="1:5" x14ac:dyDescent="0.3">
      <c r="E49" s="6" t="s">
        <v>22</v>
      </c>
    </row>
    <row r="50" spans="1:5" x14ac:dyDescent="0.3">
      <c r="A50">
        <v>1</v>
      </c>
      <c r="B50" s="2" cm="1">
        <f t="array" ref="B50:E67">+MMULT(H2:K19,G33:J36)</f>
        <v>3.0716745631747586</v>
      </c>
      <c r="C50" s="2">
        <v>1.3116704358575682</v>
      </c>
      <c r="D50" s="2">
        <v>0.88517639807152459</v>
      </c>
      <c r="E50" s="2">
        <v>-0.23768497193516303</v>
      </c>
    </row>
    <row r="51" spans="1:5" x14ac:dyDescent="0.3">
      <c r="A51">
        <v>2</v>
      </c>
      <c r="B51" s="2">
        <v>0.99571326325194687</v>
      </c>
      <c r="C51" s="2">
        <v>-1.5552239869271864</v>
      </c>
      <c r="D51" s="2">
        <v>-0.10163020911269866</v>
      </c>
      <c r="E51" s="2">
        <v>-0.15700100383736931</v>
      </c>
    </row>
    <row r="52" spans="1:5" x14ac:dyDescent="0.3">
      <c r="A52">
        <v>3</v>
      </c>
      <c r="B52" s="2">
        <v>2.3116224254576507</v>
      </c>
      <c r="C52" s="2">
        <v>0.60503229555689608</v>
      </c>
      <c r="D52" s="2">
        <v>-0.54170397692692296</v>
      </c>
      <c r="E52" s="2">
        <v>0.27219576220956132</v>
      </c>
    </row>
    <row r="53" spans="1:5" x14ac:dyDescent="0.3">
      <c r="A53">
        <v>4</v>
      </c>
      <c r="B53" s="2">
        <v>2.1161452740258619</v>
      </c>
      <c r="C53" s="2">
        <v>-1.9872659540940942</v>
      </c>
      <c r="D53" s="2">
        <v>0.23038671876057465</v>
      </c>
      <c r="E53" s="2">
        <v>3.5972994507375872E-2</v>
      </c>
    </row>
    <row r="54" spans="1:5" x14ac:dyDescent="0.3">
      <c r="A54">
        <v>5</v>
      </c>
      <c r="B54" s="2">
        <v>1.3661043116142815</v>
      </c>
      <c r="C54" s="2">
        <v>0.44951162541416001</v>
      </c>
      <c r="D54" s="2">
        <v>-0.4806903694050898</v>
      </c>
      <c r="E54" s="2">
        <v>0.36278808127967604</v>
      </c>
    </row>
    <row r="55" spans="1:5" x14ac:dyDescent="0.3">
      <c r="A55">
        <v>6</v>
      </c>
      <c r="B55" s="2">
        <v>1.4665162284290409</v>
      </c>
      <c r="C55" s="2">
        <v>0.1027062023821968</v>
      </c>
      <c r="D55" s="2">
        <v>-0.26869533374127985</v>
      </c>
      <c r="E55" s="2">
        <v>8.078945234069157E-3</v>
      </c>
    </row>
    <row r="56" spans="1:5" x14ac:dyDescent="0.3">
      <c r="A56">
        <v>7</v>
      </c>
      <c r="B56" s="7">
        <v>8.5715198559894346E-2</v>
      </c>
      <c r="C56" s="7">
        <v>0.3301249240693156</v>
      </c>
      <c r="D56" s="7">
        <v>-0.150602560350408</v>
      </c>
      <c r="E56" s="7">
        <v>-0.17449600855425612</v>
      </c>
    </row>
    <row r="57" spans="1:5" x14ac:dyDescent="0.3">
      <c r="A57">
        <v>8</v>
      </c>
      <c r="B57" s="2">
        <v>0.73911694129937711</v>
      </c>
      <c r="C57" s="2">
        <v>-0.47094937693712813</v>
      </c>
      <c r="D57" s="2">
        <v>0.3583768858618181</v>
      </c>
      <c r="E57" s="2">
        <v>0.30788358021913398</v>
      </c>
    </row>
    <row r="58" spans="1:5" x14ac:dyDescent="0.3">
      <c r="A58">
        <v>9</v>
      </c>
      <c r="B58" s="2">
        <v>0.48922154218872238</v>
      </c>
      <c r="C58" s="2">
        <v>0.29525572794345023</v>
      </c>
      <c r="D58" s="2">
        <v>-0.13262341989078802</v>
      </c>
      <c r="E58" s="2">
        <v>-0.17979125604782234</v>
      </c>
    </row>
    <row r="59" spans="1:5" x14ac:dyDescent="0.3">
      <c r="A59">
        <v>10</v>
      </c>
      <c r="B59" s="2">
        <v>0.41423986057667134</v>
      </c>
      <c r="C59" s="2">
        <v>0.2746634760811163</v>
      </c>
      <c r="D59" s="2">
        <v>-9.3218288714799591E-2</v>
      </c>
      <c r="E59" s="2">
        <v>-0.20691533969229584</v>
      </c>
    </row>
    <row r="60" spans="1:5" x14ac:dyDescent="0.3">
      <c r="A60">
        <v>11</v>
      </c>
      <c r="B60" s="2">
        <v>5.5524061508233379E-2</v>
      </c>
      <c r="C60" s="2">
        <v>0.45084874459807556</v>
      </c>
      <c r="D60" s="2">
        <v>-0.33638534213873578</v>
      </c>
      <c r="E60" s="2">
        <v>-0.27884465452248419</v>
      </c>
    </row>
    <row r="61" spans="1:5" x14ac:dyDescent="0.3">
      <c r="A61">
        <v>12</v>
      </c>
      <c r="B61" s="2">
        <v>0.47724602036826541</v>
      </c>
      <c r="C61" s="2">
        <v>7.739613459626174E-2</v>
      </c>
      <c r="D61" s="2">
        <v>0.48008597288783417</v>
      </c>
      <c r="E61" s="2">
        <v>0.26984647749488089</v>
      </c>
    </row>
    <row r="62" spans="1:5" x14ac:dyDescent="0.3">
      <c r="A62">
        <v>13</v>
      </c>
      <c r="B62" s="2">
        <v>-1.0805648685815916</v>
      </c>
      <c r="C62" s="2">
        <v>0.14620865486990364</v>
      </c>
      <c r="D62" s="2">
        <v>-0.42321289973312098</v>
      </c>
      <c r="E62" s="2">
        <v>-0.27983829442112129</v>
      </c>
    </row>
    <row r="63" spans="1:5" x14ac:dyDescent="0.3">
      <c r="A63">
        <v>14</v>
      </c>
      <c r="B63" s="2">
        <v>-2.3947849338439093</v>
      </c>
      <c r="C63" s="2">
        <v>-0.2981526208922185</v>
      </c>
      <c r="D63" s="2">
        <v>0.34692210403999418</v>
      </c>
      <c r="E63" s="2">
        <v>-0.30310234187342755</v>
      </c>
    </row>
    <row r="64" spans="1:5" x14ac:dyDescent="0.3">
      <c r="A64">
        <v>15</v>
      </c>
      <c r="B64" s="2">
        <v>-2.4801296948971916</v>
      </c>
      <c r="C64" s="2">
        <v>-0.11714762253236422</v>
      </c>
      <c r="D64" s="2">
        <v>0.53564125024067344</v>
      </c>
      <c r="E64" s="2">
        <v>8.3333383480272416E-2</v>
      </c>
    </row>
    <row r="65" spans="1:7" x14ac:dyDescent="0.3">
      <c r="A65">
        <v>16</v>
      </c>
      <c r="B65" s="2">
        <v>-2.2254769131590209</v>
      </c>
      <c r="C65" s="2">
        <v>-0.36998353633901798</v>
      </c>
      <c r="D65" s="2">
        <v>-0.58013111755860902</v>
      </c>
      <c r="E65" s="2">
        <v>3.144323165282692E-2</v>
      </c>
    </row>
    <row r="66" spans="1:7" x14ac:dyDescent="0.3">
      <c r="A66">
        <v>17</v>
      </c>
      <c r="B66" s="2">
        <v>-2.8632449253418586</v>
      </c>
      <c r="C66" s="2">
        <v>0.58633213183162669</v>
      </c>
      <c r="D66" s="2">
        <v>0.18045147486516006</v>
      </c>
      <c r="E66" s="2">
        <v>0.29804787843497493</v>
      </c>
    </row>
    <row r="67" spans="1:7" x14ac:dyDescent="0.3">
      <c r="A67">
        <v>18</v>
      </c>
      <c r="B67" s="2">
        <v>-2.5446383546311391</v>
      </c>
      <c r="C67" s="2">
        <v>0.16897274452143973</v>
      </c>
      <c r="D67" s="2">
        <v>9.1852712844871176E-2</v>
      </c>
      <c r="E67" s="2">
        <v>0.14808353637116523</v>
      </c>
    </row>
    <row r="68" spans="1:7" x14ac:dyDescent="0.3">
      <c r="A68" t="s">
        <v>23</v>
      </c>
      <c r="B68">
        <f>+SUMSQ(B50:B67)</f>
        <v>58.140391402212927</v>
      </c>
      <c r="C68">
        <f t="shared" ref="C68:E68" si="8">+SUMSQ(C50:C67)</f>
        <v>10.002967297376815</v>
      </c>
      <c r="D68">
        <f t="shared" si="8"/>
        <v>2.9286064145772452</v>
      </c>
      <c r="E68">
        <f t="shared" si="8"/>
        <v>0.9280348858329277</v>
      </c>
    </row>
    <row r="70" spans="1:7" x14ac:dyDescent="0.3">
      <c r="A70" s="8" t="s">
        <v>24</v>
      </c>
      <c r="B70" s="8"/>
      <c r="C70" s="8"/>
      <c r="D70" s="8"/>
      <c r="E70" s="8"/>
      <c r="F70" s="8"/>
      <c r="G70" s="8"/>
    </row>
    <row r="72" spans="1:7" x14ac:dyDescent="0.3">
      <c r="E72" t="s">
        <v>25</v>
      </c>
    </row>
    <row r="73" spans="1:7" x14ac:dyDescent="0.3">
      <c r="B73" s="2">
        <f>+SQRT(D33)</f>
        <v>1.7972261250514319</v>
      </c>
      <c r="C73" s="2">
        <v>0</v>
      </c>
      <c r="D73" s="2">
        <v>0</v>
      </c>
      <c r="E73" s="2">
        <v>0</v>
      </c>
    </row>
    <row r="74" spans="1:7" x14ac:dyDescent="0.3">
      <c r="B74" s="2">
        <v>0</v>
      </c>
      <c r="C74" s="2">
        <f>+SQRT(D34)</f>
        <v>0.74546656894177554</v>
      </c>
      <c r="D74" s="2">
        <v>0</v>
      </c>
      <c r="E74" s="2">
        <v>0</v>
      </c>
    </row>
    <row r="75" spans="1:7" x14ac:dyDescent="0.3">
      <c r="B75" s="2">
        <v>0</v>
      </c>
      <c r="C75" s="2">
        <v>0</v>
      </c>
      <c r="D75" s="2">
        <f>+SQRT(D35)</f>
        <v>0.40336132234685379</v>
      </c>
      <c r="E75" s="2">
        <v>0</v>
      </c>
    </row>
    <row r="76" spans="1:7" x14ac:dyDescent="0.3">
      <c r="B76" s="2">
        <v>0</v>
      </c>
      <c r="C76" s="2">
        <v>0</v>
      </c>
      <c r="D76" s="2">
        <v>0</v>
      </c>
      <c r="E76" s="2">
        <f>+SQRT(D36)</f>
        <v>0.22706275268609111</v>
      </c>
    </row>
    <row r="78" spans="1:7" x14ac:dyDescent="0.3">
      <c r="B78" t="s">
        <v>26</v>
      </c>
      <c r="C78" t="s">
        <v>27</v>
      </c>
      <c r="D78" t="s">
        <v>28</v>
      </c>
      <c r="E78" t="s">
        <v>29</v>
      </c>
    </row>
    <row r="79" spans="1:7" x14ac:dyDescent="0.3">
      <c r="A79" t="s">
        <v>0</v>
      </c>
      <c r="B79" s="3" cm="1">
        <f t="array" ref="B79:E82">+SQRT(18)*MMULT(G33:J36,B73:E76)</f>
        <v>-3.9497694392489704</v>
      </c>
      <c r="C79" s="3">
        <v>0.61693444763638428</v>
      </c>
      <c r="D79" s="3">
        <v>-1.4187502146280775</v>
      </c>
      <c r="E79" s="3">
        <v>7.655777287255143E-2</v>
      </c>
    </row>
    <row r="80" spans="1:7" x14ac:dyDescent="0.3">
      <c r="A80" t="s">
        <v>1</v>
      </c>
      <c r="B80" s="3">
        <v>-3.4076978744306405</v>
      </c>
      <c r="C80" s="3">
        <v>2.4061183436416496</v>
      </c>
      <c r="D80" s="3">
        <v>0.75813195079953244</v>
      </c>
      <c r="E80" s="3">
        <v>-0.15305442877915032</v>
      </c>
    </row>
    <row r="81" spans="1:7" x14ac:dyDescent="0.3">
      <c r="A81" t="s">
        <v>2</v>
      </c>
      <c r="B81" s="3">
        <v>-4.0069266698143728</v>
      </c>
      <c r="C81" s="3">
        <v>-1.0877924727200272</v>
      </c>
      <c r="D81" s="3">
        <v>0.54009910851419096</v>
      </c>
      <c r="E81" s="3">
        <v>0.68522926966535036</v>
      </c>
    </row>
    <row r="82" spans="1:7" x14ac:dyDescent="0.3">
      <c r="A82" t="s">
        <v>3</v>
      </c>
      <c r="B82" s="9">
        <v>-3.8564033293107434</v>
      </c>
      <c r="C82" s="9">
        <v>-1.6277780061732054</v>
      </c>
      <c r="D82" s="9">
        <v>0.22199806582287954</v>
      </c>
      <c r="E82" s="9">
        <v>-0.65514043003824962</v>
      </c>
    </row>
    <row r="83" spans="1:7" x14ac:dyDescent="0.3">
      <c r="B83">
        <f>+SUMSQ(B79:B82)</f>
        <v>58.140391402212913</v>
      </c>
      <c r="C83">
        <f t="shared" ref="C83:E83" si="9">+SUMSQ(C79:C82)</f>
        <v>10.002967297376813</v>
      </c>
      <c r="D83">
        <f t="shared" si="9"/>
        <v>2.9286064145772444</v>
      </c>
      <c r="E83">
        <f t="shared" si="9"/>
        <v>0.92803488583292926</v>
      </c>
    </row>
    <row r="85" spans="1:7" x14ac:dyDescent="0.3">
      <c r="A85" s="8" t="s">
        <v>30</v>
      </c>
      <c r="B85" s="8"/>
      <c r="C85" s="8"/>
      <c r="D85" s="8"/>
      <c r="E85" s="8"/>
      <c r="F85" s="8"/>
      <c r="G85" s="8"/>
    </row>
    <row r="90" spans="1:7" x14ac:dyDescent="0.3">
      <c r="E90" t="s">
        <v>31</v>
      </c>
    </row>
    <row r="91" spans="1:7" x14ac:dyDescent="0.3">
      <c r="B91" s="2" t="s">
        <v>0</v>
      </c>
      <c r="C91" s="2" t="s">
        <v>1</v>
      </c>
      <c r="D91" s="2" t="s">
        <v>2</v>
      </c>
      <c r="E91" s="2" t="s">
        <v>3</v>
      </c>
    </row>
    <row r="92" spans="1:7" x14ac:dyDescent="0.3">
      <c r="A92" s="2" t="s">
        <v>32</v>
      </c>
      <c r="B92" s="2" cm="1">
        <f t="array" ref="B92:E95">+MMULT(B73:E76,TRANSPOSE(G33:J36))</f>
        <v>-0.93096958487211146</v>
      </c>
      <c r="C92" s="2">
        <v>-0.80320209174829671</v>
      </c>
      <c r="D92" s="2">
        <v>-0.94444167331432449</v>
      </c>
      <c r="E92" s="2">
        <v>-0.90896298171533518</v>
      </c>
    </row>
    <row r="93" spans="1:7" x14ac:dyDescent="0.3">
      <c r="A93" s="2" t="s">
        <v>33</v>
      </c>
      <c r="B93" s="2">
        <v>0.1454128438237548</v>
      </c>
      <c r="C93" s="2">
        <v>0.56712753237545144</v>
      </c>
      <c r="D93" s="2">
        <v>-0.25639514466133795</v>
      </c>
      <c r="E93" s="2">
        <v>-0.38367095547713048</v>
      </c>
    </row>
    <row r="94" spans="1:7" x14ac:dyDescent="0.3">
      <c r="A94" s="2" t="s">
        <v>34</v>
      </c>
      <c r="B94" s="2">
        <v>-0.33440263252446112</v>
      </c>
      <c r="C94" s="2">
        <v>0.17869341448151183</v>
      </c>
      <c r="D94" s="2">
        <v>0.12730258071439782</v>
      </c>
      <c r="E94" s="7">
        <v>5.2325445917885224E-2</v>
      </c>
    </row>
    <row r="95" spans="1:7" x14ac:dyDescent="0.3">
      <c r="A95" s="2" t="s">
        <v>35</v>
      </c>
      <c r="B95" s="2">
        <v>1.8044840116906876E-2</v>
      </c>
      <c r="C95" s="2">
        <v>-3.6075274826790224E-2</v>
      </c>
      <c r="D95" s="2">
        <v>0.16151008774929157</v>
      </c>
      <c r="E95" s="2">
        <v>-0.15441808023650574</v>
      </c>
    </row>
    <row r="98" spans="1:7" x14ac:dyDescent="0.3">
      <c r="A98" s="8" t="s">
        <v>36</v>
      </c>
      <c r="B98" s="8"/>
      <c r="C98" s="8"/>
      <c r="D98" s="8"/>
      <c r="E98" s="8"/>
      <c r="F98" s="8"/>
      <c r="G98" s="8"/>
    </row>
    <row r="100" spans="1:7" x14ac:dyDescent="0.3">
      <c r="B100" s="2" t="s">
        <v>32</v>
      </c>
      <c r="C100" s="2" t="s">
        <v>33</v>
      </c>
      <c r="D100" s="2" t="s">
        <v>34</v>
      </c>
      <c r="E100" s="2" t="s">
        <v>35</v>
      </c>
    </row>
    <row r="101" spans="1:7" x14ac:dyDescent="0.3">
      <c r="A101" s="2" t="s">
        <v>0</v>
      </c>
      <c r="B101" s="10">
        <f>+B79^2/$B$83</f>
        <v>0.26832771928383237</v>
      </c>
      <c r="C101" s="10">
        <f>+C79^2/$C$83</f>
        <v>3.8049520843702209E-2</v>
      </c>
      <c r="D101" s="10">
        <f>+D79^2/$D$83</f>
        <v>0.68730716476211062</v>
      </c>
      <c r="E101" s="10">
        <f>+E79^2/$E$83</f>
        <v>6.3155951103548522E-3</v>
      </c>
    </row>
    <row r="102" spans="1:7" x14ac:dyDescent="0.3">
      <c r="A102" s="2" t="s">
        <v>1</v>
      </c>
      <c r="B102" s="10">
        <f t="shared" ref="B102:B104" si="10">+B80^2/$B$83</f>
        <v>0.19973042016633413</v>
      </c>
      <c r="C102" s="10">
        <f t="shared" ref="C102:C104" si="11">+C80^2/$C$83</f>
        <v>0.57876881044358253</v>
      </c>
      <c r="D102" s="10">
        <f t="shared" ref="D102:D104" si="12">+D80^2/$D$83</f>
        <v>0.19625855217764865</v>
      </c>
      <c r="E102" s="10">
        <f t="shared" ref="E102:E104" si="13">+E80^2/$E$83</f>
        <v>2.5242217212434873E-2</v>
      </c>
    </row>
    <row r="103" spans="1:7" x14ac:dyDescent="0.3">
      <c r="A103" s="2" t="s">
        <v>2</v>
      </c>
      <c r="B103" s="10">
        <f t="shared" si="10"/>
        <v>0.27614986672859937</v>
      </c>
      <c r="C103" s="10">
        <f t="shared" si="11"/>
        <v>0.11829414498002595</v>
      </c>
      <c r="D103" s="10">
        <f t="shared" si="12"/>
        <v>9.9606094409218485E-2</v>
      </c>
      <c r="E103" s="10">
        <f t="shared" si="13"/>
        <v>0.50594989388215617</v>
      </c>
    </row>
    <row r="104" spans="1:7" x14ac:dyDescent="0.3">
      <c r="A104" s="2" t="s">
        <v>3</v>
      </c>
      <c r="B104" s="10">
        <f t="shared" si="10"/>
        <v>0.25579199382123424</v>
      </c>
      <c r="C104" s="11">
        <f t="shared" si="11"/>
        <v>0.26488752373268937</v>
      </c>
      <c r="D104" s="10">
        <f t="shared" si="12"/>
        <v>1.6828188651022185E-2</v>
      </c>
      <c r="E104" s="10">
        <f t="shared" si="13"/>
        <v>0.46249229379505413</v>
      </c>
    </row>
    <row r="105" spans="1:7" x14ac:dyDescent="0.3">
      <c r="B105" s="12"/>
      <c r="C105" s="12"/>
      <c r="D105" s="12"/>
      <c r="E105" s="12"/>
    </row>
    <row r="106" spans="1:7" x14ac:dyDescent="0.3">
      <c r="A106" s="8" t="s">
        <v>37</v>
      </c>
      <c r="B106" s="8"/>
      <c r="C106" s="8"/>
      <c r="D106" s="8"/>
      <c r="E106" s="8"/>
    </row>
    <row r="107" spans="1:7" x14ac:dyDescent="0.3">
      <c r="B107" s="12"/>
      <c r="C107" s="12"/>
      <c r="D107" s="12"/>
      <c r="E107" s="12"/>
    </row>
    <row r="108" spans="1:7" x14ac:dyDescent="0.3">
      <c r="B108" s="12" t="s">
        <v>38</v>
      </c>
      <c r="C108" s="13"/>
      <c r="D108" s="12"/>
      <c r="E108" s="12"/>
    </row>
    <row r="109" spans="1:7" x14ac:dyDescent="0.3">
      <c r="B109" s="14" cm="1">
        <f t="array" ref="B109:E112">+TRANSPOSE(_xlfn.ANCHORARRAY(B79))/SQRT(18)</f>
        <v>-0.93096958487211146</v>
      </c>
      <c r="C109" s="14">
        <v>-0.80320209174829671</v>
      </c>
      <c r="D109" s="14">
        <v>-0.94444167331432449</v>
      </c>
      <c r="E109" s="14">
        <v>-0.90896298171533518</v>
      </c>
    </row>
    <row r="110" spans="1:7" x14ac:dyDescent="0.3">
      <c r="B110" s="14">
        <v>0.1454128438237548</v>
      </c>
      <c r="C110" s="14">
        <v>0.56712753237545144</v>
      </c>
      <c r="D110" s="14">
        <v>-0.25639514466133795</v>
      </c>
      <c r="E110" s="14">
        <v>-0.38367095547713048</v>
      </c>
    </row>
    <row r="111" spans="1:7" x14ac:dyDescent="0.3">
      <c r="B111" s="14">
        <v>-0.33440263252446112</v>
      </c>
      <c r="C111" s="14">
        <v>0.17869341448151183</v>
      </c>
      <c r="D111" s="14">
        <v>0.12730258071439782</v>
      </c>
      <c r="E111" s="14">
        <v>5.2325445917885224E-2</v>
      </c>
    </row>
    <row r="112" spans="1:7" x14ac:dyDescent="0.3">
      <c r="B112" s="14">
        <v>1.8044840116906876E-2</v>
      </c>
      <c r="C112" s="14">
        <v>-3.6075274826790224E-2</v>
      </c>
      <c r="D112" s="14">
        <v>0.16151008774929157</v>
      </c>
      <c r="E112" s="14">
        <v>-0.15441808023650574</v>
      </c>
    </row>
    <row r="113" spans="1:5" x14ac:dyDescent="0.3">
      <c r="B113" s="12"/>
      <c r="C113" s="12"/>
      <c r="D113" s="12"/>
      <c r="E113" s="12"/>
    </row>
    <row r="114" spans="1:5" x14ac:dyDescent="0.3">
      <c r="B114" s="15" t="s">
        <v>0</v>
      </c>
      <c r="C114" s="15" t="s">
        <v>1</v>
      </c>
      <c r="D114" s="15" t="s">
        <v>2</v>
      </c>
      <c r="E114" s="15" t="s">
        <v>3</v>
      </c>
    </row>
    <row r="115" spans="1:5" x14ac:dyDescent="0.3">
      <c r="A115" s="2" t="s">
        <v>32</v>
      </c>
      <c r="B115" s="16">
        <f>+B109^2</f>
        <v>0.86670436795695149</v>
      </c>
      <c r="C115" s="16">
        <f t="shared" ref="C115:E115" si="14">+C109^2</f>
        <v>0.64513360018883925</v>
      </c>
      <c r="D115" s="16">
        <f t="shared" si="14"/>
        <v>0.89197007429276121</v>
      </c>
      <c r="E115" s="17">
        <f t="shared" si="14"/>
        <v>0.82621370212883272</v>
      </c>
    </row>
    <row r="116" spans="1:5" x14ac:dyDescent="0.3">
      <c r="A116" s="2" t="s">
        <v>33</v>
      </c>
      <c r="B116" s="16">
        <f t="shared" ref="B116:E118" si="15">+B110^2</f>
        <v>2.1144895148911706E-2</v>
      </c>
      <c r="C116" s="16">
        <f t="shared" si="15"/>
        <v>0.32163363797826872</v>
      </c>
      <c r="D116" s="16">
        <f t="shared" si="15"/>
        <v>6.5738470205908409E-2</v>
      </c>
      <c r="E116" s="17">
        <f t="shared" si="15"/>
        <v>0.14720340207673424</v>
      </c>
    </row>
    <row r="117" spans="1:5" x14ac:dyDescent="0.3">
      <c r="A117" s="2" t="s">
        <v>34</v>
      </c>
      <c r="B117" s="16">
        <f t="shared" si="15"/>
        <v>0.11182512063928979</v>
      </c>
      <c r="C117" s="16">
        <f t="shared" si="15"/>
        <v>3.1931336379061377E-2</v>
      </c>
      <c r="D117" s="16">
        <f t="shared" si="15"/>
        <v>1.620594705654577E-2</v>
      </c>
      <c r="E117" s="16">
        <f t="shared" si="15"/>
        <v>2.7379522905055316E-3</v>
      </c>
    </row>
    <row r="118" spans="1:5" x14ac:dyDescent="0.3">
      <c r="A118" s="2" t="s">
        <v>35</v>
      </c>
      <c r="B118" s="16">
        <f t="shared" si="15"/>
        <v>3.2561625484473178E-4</v>
      </c>
      <c r="C118" s="16">
        <f t="shared" si="15"/>
        <v>1.3014254538284444E-3</v>
      </c>
      <c r="D118" s="16">
        <f t="shared" si="15"/>
        <v>2.6085508444783863E-2</v>
      </c>
      <c r="E118" s="16">
        <f t="shared" si="15"/>
        <v>2.3844943503927928E-2</v>
      </c>
    </row>
    <row r="119" spans="1:5" x14ac:dyDescent="0.3">
      <c r="B119" s="12"/>
      <c r="C119" s="12"/>
      <c r="D119" s="12"/>
      <c r="E119" s="12"/>
    </row>
    <row r="120" spans="1:5" x14ac:dyDescent="0.3">
      <c r="B120" s="12"/>
      <c r="C120" s="12"/>
      <c r="D120" s="12"/>
      <c r="E120" s="12"/>
    </row>
    <row r="121" spans="1:5" x14ac:dyDescent="0.3">
      <c r="A121" s="8" t="s">
        <v>39</v>
      </c>
      <c r="B121" s="18"/>
      <c r="C121" s="18"/>
      <c r="D121" s="18"/>
      <c r="E121" s="18"/>
    </row>
    <row r="122" spans="1:5" x14ac:dyDescent="0.3">
      <c r="A122" s="10"/>
      <c r="B122" s="10" t="s">
        <v>32</v>
      </c>
      <c r="C122" s="10" t="s">
        <v>33</v>
      </c>
      <c r="D122" s="10" t="s">
        <v>34</v>
      </c>
      <c r="E122" s="10" t="s">
        <v>35</v>
      </c>
    </row>
    <row r="123" spans="1:5" x14ac:dyDescent="0.3">
      <c r="A123" s="19">
        <v>1</v>
      </c>
      <c r="B123" s="10">
        <f>+B50^2/$L$2</f>
        <v>0.78654753576909997</v>
      </c>
      <c r="C123" s="10">
        <f t="shared" ref="C123:E123" si="16">+C50^2/$L$2</f>
        <v>0.14342472705846265</v>
      </c>
      <c r="D123" s="10">
        <f t="shared" si="16"/>
        <v>6.5318202276169468E-2</v>
      </c>
      <c r="E123" s="10">
        <f t="shared" si="16"/>
        <v>4.7095348962679544E-3</v>
      </c>
    </row>
    <row r="124" spans="1:5" x14ac:dyDescent="0.3">
      <c r="A124" s="19">
        <v>2</v>
      </c>
      <c r="B124" s="10">
        <f>+B51^2/$L$3</f>
        <v>0.28778034808393321</v>
      </c>
      <c r="C124" s="10">
        <f t="shared" ref="C124:E124" si="17">+C51^2/$L$3</f>
        <v>0.70206680812892452</v>
      </c>
      <c r="D124" s="10">
        <f t="shared" si="17"/>
        <v>2.9980452791463518E-3</v>
      </c>
      <c r="E124" s="10">
        <f t="shared" si="17"/>
        <v>7.1547985079964231E-3</v>
      </c>
    </row>
    <row r="125" spans="1:5" x14ac:dyDescent="0.3">
      <c r="A125" s="19">
        <v>3</v>
      </c>
      <c r="B125" s="10">
        <f>+B52^2/$L$4</f>
        <v>0.87928679535095655</v>
      </c>
      <c r="C125" s="10">
        <f t="shared" ref="C125:E125" si="18">+C52^2/$L$4</f>
        <v>6.0235686946376751E-2</v>
      </c>
      <c r="D125" s="10">
        <f t="shared" si="18"/>
        <v>4.8285952319868736E-2</v>
      </c>
      <c r="E125" s="10">
        <f t="shared" si="18"/>
        <v>1.219156538279793E-2</v>
      </c>
    </row>
    <row r="126" spans="1:5" x14ac:dyDescent="0.3">
      <c r="A126" s="19">
        <v>4</v>
      </c>
      <c r="B126" s="10">
        <f>+B53^2/$L$5</f>
        <v>0.52797048305830796</v>
      </c>
      <c r="C126" s="10">
        <f t="shared" ref="C126:E126" si="19">+C53^2/$L$5</f>
        <v>0.46561897472142588</v>
      </c>
      <c r="D126" s="10">
        <f t="shared" si="19"/>
        <v>6.2579712639284748E-3</v>
      </c>
      <c r="E126" s="10">
        <f t="shared" si="19"/>
        <v>1.5257095633792631E-4</v>
      </c>
    </row>
    <row r="127" spans="1:5" x14ac:dyDescent="0.3">
      <c r="A127" s="19">
        <v>5</v>
      </c>
      <c r="B127" s="10">
        <f>+B54^2/$L$6</f>
        <v>0.76769076755787635</v>
      </c>
      <c r="C127" s="10">
        <f t="shared" ref="C127" si="20">+C54^2/$C$68</f>
        <v>2.0200076174943474E-2</v>
      </c>
      <c r="D127" s="10">
        <f t="shared" ref="D127" si="21">+D54^2/$D$68</f>
        <v>7.8898697376566559E-2</v>
      </c>
      <c r="E127" s="10">
        <f t="shared" ref="E127" si="22">+E54^2/$E$68</f>
        <v>0.14182138401021624</v>
      </c>
    </row>
    <row r="128" spans="1:5" x14ac:dyDescent="0.3">
      <c r="A128" s="19">
        <v>6</v>
      </c>
      <c r="B128" s="10">
        <f>+B55^2/$L$7</f>
        <v>0.96292288997251951</v>
      </c>
      <c r="C128" s="10">
        <f t="shared" ref="C128:E128" si="23">+C55^2/$L$7</f>
        <v>4.7229256260368823E-3</v>
      </c>
      <c r="D128" s="10">
        <f t="shared" si="23"/>
        <v>3.2324961247062994E-2</v>
      </c>
      <c r="E128" s="10">
        <f t="shared" si="23"/>
        <v>2.922315438094479E-5</v>
      </c>
    </row>
    <row r="129" spans="1:6" x14ac:dyDescent="0.3">
      <c r="A129" s="19">
        <v>7</v>
      </c>
      <c r="B129" s="10">
        <f>+B56^2/$L$8</f>
        <v>4.3356041663387329E-2</v>
      </c>
      <c r="C129" s="11">
        <f t="shared" ref="C129:E129" si="24">+C56^2/$L$8</f>
        <v>0.64311787782144292</v>
      </c>
      <c r="D129" s="10">
        <f t="shared" si="24"/>
        <v>0.13384392514783391</v>
      </c>
      <c r="E129" s="11">
        <f t="shared" si="24"/>
        <v>0.17968215536733551</v>
      </c>
    </row>
    <row r="130" spans="1:6" x14ac:dyDescent="0.3">
      <c r="A130" s="19">
        <v>8</v>
      </c>
      <c r="B130" s="10">
        <f>+B57^2/$L$9</f>
        <v>0.55108083875199021</v>
      </c>
      <c r="C130" s="10">
        <f t="shared" ref="C130:E130" si="25">+C57^2/$L$9</f>
        <v>0.22373681446115767</v>
      </c>
      <c r="D130" s="10">
        <f t="shared" si="25"/>
        <v>0.12955941538462834</v>
      </c>
      <c r="E130" s="10">
        <f t="shared" si="25"/>
        <v>9.562293140222379E-2</v>
      </c>
    </row>
    <row r="131" spans="1:6" x14ac:dyDescent="0.3">
      <c r="A131" s="19">
        <v>9</v>
      </c>
      <c r="B131" s="10">
        <f>+B58^2/$L$10</f>
        <v>0.63581353274644659</v>
      </c>
      <c r="C131" s="10">
        <f t="shared" ref="C131:E131" si="26">+C58^2/$L$10</f>
        <v>0.23158759138554316</v>
      </c>
      <c r="D131" s="10">
        <f t="shared" si="26"/>
        <v>4.6726049839764215E-2</v>
      </c>
      <c r="E131" s="10">
        <f t="shared" si="26"/>
        <v>8.5872826028245988E-2</v>
      </c>
    </row>
    <row r="132" spans="1:6" x14ac:dyDescent="0.3">
      <c r="A132" s="19">
        <v>10</v>
      </c>
      <c r="B132" s="10">
        <f>+B59^2/$L$11</f>
        <v>0.57478275098052278</v>
      </c>
      <c r="C132" s="10">
        <f t="shared" ref="C132:E132" si="27">+C59^2/$L$11</f>
        <v>0.25269798389231318</v>
      </c>
      <c r="D132" s="10">
        <f t="shared" si="27"/>
        <v>2.9107318946430365E-2</v>
      </c>
      <c r="E132" s="10">
        <f t="shared" si="27"/>
        <v>0.14341194618073372</v>
      </c>
    </row>
    <row r="133" spans="1:6" x14ac:dyDescent="0.3">
      <c r="A133" s="19">
        <v>11</v>
      </c>
      <c r="B133" s="10">
        <f>+B60^2/$L$12</f>
        <v>7.7605222347454468E-3</v>
      </c>
      <c r="C133" s="10">
        <f t="shared" ref="C133:E133" si="28">+C60^2/$L$12</f>
        <v>0.51167031728289469</v>
      </c>
      <c r="D133" s="10">
        <f t="shared" si="28"/>
        <v>0.28484107812106868</v>
      </c>
      <c r="E133" s="10">
        <f t="shared" si="28"/>
        <v>0.19572808236129094</v>
      </c>
    </row>
    <row r="134" spans="1:6" x14ac:dyDescent="0.3">
      <c r="A134" s="19">
        <v>12</v>
      </c>
      <c r="B134" s="10">
        <f>+B61^2/$L$13</f>
        <v>0.42409876571360511</v>
      </c>
      <c r="C134" s="10">
        <f t="shared" ref="C134:E134" si="29">+C61^2/$L$13</f>
        <v>1.1153750351848981E-2</v>
      </c>
      <c r="D134" s="10">
        <f t="shared" si="29"/>
        <v>0.42916116072426475</v>
      </c>
      <c r="E134" s="10">
        <f t="shared" si="29"/>
        <v>0.13558632321028091</v>
      </c>
    </row>
    <row r="135" spans="1:6" x14ac:dyDescent="0.3">
      <c r="A135" s="19">
        <v>13</v>
      </c>
      <c r="B135" s="10">
        <f>+B62^2/$L$14</f>
        <v>0.80725075397261137</v>
      </c>
      <c r="C135" s="10">
        <f t="shared" ref="C135:E135" si="30">+C62^2/$L$14</f>
        <v>1.4779268366951115E-2</v>
      </c>
      <c r="D135" s="10">
        <f t="shared" si="30"/>
        <v>0.12382962723378253</v>
      </c>
      <c r="E135" s="10">
        <f t="shared" si="30"/>
        <v>5.4140350426655041E-2</v>
      </c>
    </row>
    <row r="136" spans="1:6" x14ac:dyDescent="0.3">
      <c r="A136" s="19">
        <v>14</v>
      </c>
      <c r="B136" s="10">
        <f>+B63^2/$L$15</f>
        <v>0.95011345553731186</v>
      </c>
      <c r="C136" s="10">
        <f t="shared" ref="C136:E136" si="31">+C63^2/$L$15</f>
        <v>1.4727183455710594E-2</v>
      </c>
      <c r="D136" s="10">
        <f t="shared" si="31"/>
        <v>1.9939137923991129E-2</v>
      </c>
      <c r="E136" s="10">
        <f t="shared" si="31"/>
        <v>1.5220223082986187E-2</v>
      </c>
    </row>
    <row r="137" spans="1:6" x14ac:dyDescent="0.3">
      <c r="A137" s="19">
        <v>15</v>
      </c>
      <c r="B137" s="10">
        <f>+B64^2/$L$16</f>
        <v>0.95237691170663985</v>
      </c>
      <c r="C137" s="10">
        <f t="shared" ref="C137:E137" si="32">+C64^2/$L$16</f>
        <v>2.1248439086238597E-3</v>
      </c>
      <c r="D137" s="10">
        <f t="shared" si="32"/>
        <v>4.4423022477333547E-2</v>
      </c>
      <c r="E137" s="10">
        <f t="shared" si="32"/>
        <v>1.0752219074028674E-3</v>
      </c>
    </row>
    <row r="138" spans="1:6" x14ac:dyDescent="0.3">
      <c r="A138" s="19">
        <v>16</v>
      </c>
      <c r="B138" s="10">
        <f>+B65^2/$L$17</f>
        <v>0.9125827872683312</v>
      </c>
      <c r="C138" s="10">
        <f t="shared" ref="C138:E138" si="33">+C65^2/$L$17</f>
        <v>2.5222659938875465E-2</v>
      </c>
      <c r="D138" s="10">
        <f t="shared" si="33"/>
        <v>6.2012381291662116E-2</v>
      </c>
      <c r="E138" s="10">
        <f t="shared" si="33"/>
        <v>1.8217150113092646E-4</v>
      </c>
    </row>
    <row r="139" spans="1:6" x14ac:dyDescent="0.3">
      <c r="A139" s="19">
        <v>17</v>
      </c>
      <c r="B139" s="10">
        <f>+B66^2/$L$18</f>
        <v>0.946304775136666</v>
      </c>
      <c r="C139" s="10">
        <f t="shared" ref="C139:E139" si="34">+C66^2/$L$18</f>
        <v>3.9682719010666861E-2</v>
      </c>
      <c r="D139" s="10">
        <f t="shared" si="34"/>
        <v>3.7586761152043082E-3</v>
      </c>
      <c r="E139" s="10">
        <f t="shared" si="34"/>
        <v>1.0253829737462753E-2</v>
      </c>
    </row>
    <row r="140" spans="1:6" x14ac:dyDescent="0.3">
      <c r="A140" s="19">
        <v>18</v>
      </c>
      <c r="B140" s="10">
        <f>+B67^2/$L$19</f>
        <v>0.99098308462188178</v>
      </c>
      <c r="C140" s="10">
        <f t="shared" ref="C140:E140" si="35">+C67^2/$L$19</f>
        <v>4.3696577234415808E-3</v>
      </c>
      <c r="D140" s="10">
        <f t="shared" si="35"/>
        <v>1.2912135618157199E-3</v>
      </c>
      <c r="E140" s="10">
        <f t="shared" si="35"/>
        <v>3.3560440928610135E-3</v>
      </c>
    </row>
    <row r="143" spans="1:6" x14ac:dyDescent="0.3">
      <c r="A143" s="8" t="s">
        <v>40</v>
      </c>
      <c r="B143" s="8"/>
      <c r="C143" s="8"/>
      <c r="D143" s="8"/>
      <c r="E143" s="8"/>
      <c r="F143" s="8"/>
    </row>
    <row r="145" spans="1:8" x14ac:dyDescent="0.3">
      <c r="B145" s="2" t="s">
        <v>41</v>
      </c>
      <c r="C145" s="2">
        <v>6.7</v>
      </c>
      <c r="D145" s="2">
        <v>6.7</v>
      </c>
      <c r="E145" s="2">
        <v>5.5</v>
      </c>
      <c r="F145" s="2">
        <v>6.2</v>
      </c>
      <c r="G145" s="2" t="s">
        <v>42</v>
      </c>
    </row>
    <row r="146" spans="1:8" x14ac:dyDescent="0.3">
      <c r="B146" s="2" t="s">
        <v>43</v>
      </c>
      <c r="C146" s="2">
        <f>+(C145-B20)/B21</f>
        <v>-7.7048553961488802E-3</v>
      </c>
      <c r="D146" s="2">
        <f t="shared" ref="D146:F146" si="36">+(D145-C20)/C21</f>
        <v>-6.3817078459086601E-2</v>
      </c>
      <c r="E146" s="2">
        <f t="shared" si="36"/>
        <v>-1.3209451838276088E-2</v>
      </c>
      <c r="F146" s="2">
        <f t="shared" si="36"/>
        <v>-6.006574791201414E-3</v>
      </c>
      <c r="G146" s="2">
        <f>+SUMSQ(C146:F146)</f>
        <v>4.3425528583188105E-3</v>
      </c>
    </row>
    <row r="149" spans="1:8" x14ac:dyDescent="0.3">
      <c r="B149" s="2" t="s">
        <v>44</v>
      </c>
      <c r="C149" s="19" cm="1">
        <f t="array" ref="C149:F149">+MMULT(C146:F146,G33:J36)</f>
        <v>4.2491207312537568E-2</v>
      </c>
      <c r="D149" s="19">
        <v>-4.2418293291070552E-2</v>
      </c>
      <c r="E149" s="19">
        <v>-2.6832175367357682E-2</v>
      </c>
      <c r="F149" s="19">
        <v>4.2157939667219046E-3</v>
      </c>
    </row>
    <row r="150" spans="1:8" x14ac:dyDescent="0.3">
      <c r="C150" t="s">
        <v>45</v>
      </c>
      <c r="D150" t="s">
        <v>46</v>
      </c>
      <c r="E150" t="s">
        <v>47</v>
      </c>
      <c r="F150" t="s">
        <v>48</v>
      </c>
    </row>
    <row r="151" spans="1:8" x14ac:dyDescent="0.3">
      <c r="B151" s="2" t="s">
        <v>49</v>
      </c>
      <c r="C151" s="16">
        <f>+C149^2/$G$146</f>
        <v>0.41576988416349042</v>
      </c>
      <c r="D151" s="17">
        <f t="shared" ref="D151:F151" si="37">+D149^2/$G$146</f>
        <v>0.41434420361295782</v>
      </c>
      <c r="E151" s="16">
        <f t="shared" si="37"/>
        <v>0.16579317706298827</v>
      </c>
      <c r="F151" s="17">
        <f t="shared" si="37"/>
        <v>4.0927351605639347E-3</v>
      </c>
    </row>
    <row r="155" spans="1:8" x14ac:dyDescent="0.3">
      <c r="A155" s="20" t="s">
        <v>50</v>
      </c>
      <c r="B155" s="20"/>
      <c r="C155" s="20"/>
      <c r="D155" s="20"/>
    </row>
    <row r="157" spans="1:8" x14ac:dyDescent="0.3">
      <c r="A157" s="2" t="s">
        <v>51</v>
      </c>
      <c r="B157" s="2">
        <v>18</v>
      </c>
    </row>
    <row r="158" spans="1:8" x14ac:dyDescent="0.3">
      <c r="A158" s="2" t="s">
        <v>52</v>
      </c>
      <c r="B158" s="2">
        <v>4</v>
      </c>
      <c r="E158" s="2" t="s">
        <v>26</v>
      </c>
      <c r="F158" s="2" t="s">
        <v>27</v>
      </c>
      <c r="G158" s="2" t="s">
        <v>28</v>
      </c>
      <c r="H158" s="2" t="s">
        <v>29</v>
      </c>
    </row>
    <row r="159" spans="1:8" x14ac:dyDescent="0.3">
      <c r="A159" s="2" t="s">
        <v>53</v>
      </c>
      <c r="B159" s="2">
        <v>6.8220000000000001</v>
      </c>
      <c r="D159" t="s">
        <v>0</v>
      </c>
      <c r="E159" s="2">
        <v>2.4359999999999999</v>
      </c>
      <c r="F159" s="2">
        <v>2.9319999999999999</v>
      </c>
      <c r="G159" s="2">
        <v>-1.6080000000000001</v>
      </c>
      <c r="H159" s="2">
        <v>0.94</v>
      </c>
    </row>
    <row r="160" spans="1:8" x14ac:dyDescent="0.3">
      <c r="A160" s="2" t="s">
        <v>54</v>
      </c>
      <c r="B160" s="2">
        <v>2.2679999999999998</v>
      </c>
      <c r="D160" t="s">
        <v>1</v>
      </c>
      <c r="E160" s="2">
        <v>3.06</v>
      </c>
      <c r="F160" s="2">
        <v>2.3580000000000001</v>
      </c>
      <c r="G160" s="2">
        <v>1.355</v>
      </c>
      <c r="H160" s="2">
        <v>-1.113</v>
      </c>
    </row>
    <row r="161" spans="1:8" x14ac:dyDescent="0.3">
      <c r="A161" s="2" t="s">
        <v>55</v>
      </c>
      <c r="B161" s="2">
        <v>1.044</v>
      </c>
      <c r="D161" t="s">
        <v>3</v>
      </c>
      <c r="E161" s="2">
        <v>-3.077</v>
      </c>
      <c r="F161" s="2">
        <v>2.34</v>
      </c>
      <c r="G161" s="2">
        <v>-1.3440000000000001</v>
      </c>
      <c r="H161" s="2">
        <v>-1.119</v>
      </c>
    </row>
    <row r="163" spans="1:8" x14ac:dyDescent="0.3">
      <c r="A163" s="2" t="s">
        <v>56</v>
      </c>
      <c r="B163" s="2">
        <v>-0.61</v>
      </c>
      <c r="D163" t="s">
        <v>57</v>
      </c>
    </row>
    <row r="164" spans="1:8" x14ac:dyDescent="0.3">
      <c r="A164" s="2" t="s">
        <v>58</v>
      </c>
      <c r="B164" s="2">
        <v>0.65200000000000002</v>
      </c>
      <c r="E164" s="2" t="s">
        <v>59</v>
      </c>
      <c r="F164" s="2" t="s">
        <v>60</v>
      </c>
      <c r="G164" s="2" t="s">
        <v>61</v>
      </c>
      <c r="H164" s="2" t="s">
        <v>62</v>
      </c>
    </row>
    <row r="165" spans="1:8" x14ac:dyDescent="0.3">
      <c r="A165" s="2" t="s">
        <v>63</v>
      </c>
      <c r="B165" s="2">
        <v>0.39700000000000002</v>
      </c>
      <c r="D165" s="2" t="s">
        <v>0</v>
      </c>
      <c r="E165" s="2"/>
      <c r="F165" s="2"/>
      <c r="G165" s="2"/>
      <c r="H165" s="2"/>
    </row>
    <row r="166" spans="1:8" x14ac:dyDescent="0.3">
      <c r="A166" s="2" t="s">
        <v>64</v>
      </c>
      <c r="B166" s="2">
        <v>0.21199999999999999</v>
      </c>
      <c r="D166" s="2" t="s">
        <v>1</v>
      </c>
      <c r="E166" s="2">
        <v>0.61799999999999999</v>
      </c>
      <c r="F166" s="2"/>
      <c r="G166" s="2"/>
      <c r="H166" s="2"/>
    </row>
    <row r="167" spans="1:8" x14ac:dyDescent="0.3">
      <c r="D167" s="2" t="s">
        <v>2</v>
      </c>
      <c r="E167" s="2">
        <v>-4.0000000000000001E-3</v>
      </c>
      <c r="F167" s="2"/>
      <c r="G167" s="2"/>
      <c r="H167" s="2"/>
    </row>
    <row r="168" spans="1:8" x14ac:dyDescent="0.3">
      <c r="D168" s="2" t="s">
        <v>3</v>
      </c>
      <c r="E168" s="2">
        <v>2.7E-2</v>
      </c>
      <c r="F168" s="2"/>
      <c r="G168" s="2">
        <v>0.61899999999999999</v>
      </c>
      <c r="H168" s="2"/>
    </row>
    <row r="170" spans="1:8" x14ac:dyDescent="0.3">
      <c r="D170" t="s">
        <v>65</v>
      </c>
    </row>
    <row r="171" spans="1:8" x14ac:dyDescent="0.3">
      <c r="E171" s="2" t="s">
        <v>0</v>
      </c>
      <c r="F171" s="2" t="s">
        <v>1</v>
      </c>
      <c r="G171" s="2" t="s">
        <v>2</v>
      </c>
      <c r="H171" s="2" t="s">
        <v>3</v>
      </c>
    </row>
    <row r="172" spans="1:8" x14ac:dyDescent="0.3">
      <c r="D172" s="2" t="s">
        <v>66</v>
      </c>
      <c r="E172" s="2"/>
      <c r="F172" s="2"/>
      <c r="G172" s="2"/>
      <c r="H172" s="2">
        <v>-0.61</v>
      </c>
    </row>
    <row r="173" spans="1:8" x14ac:dyDescent="0.3">
      <c r="D173" s="2" t="s">
        <v>67</v>
      </c>
      <c r="E173" s="2"/>
      <c r="F173" s="2"/>
      <c r="G173" s="2"/>
      <c r="H173" s="2">
        <v>0.65200000000000002</v>
      </c>
    </row>
    <row r="174" spans="1:8" x14ac:dyDescent="0.3">
      <c r="D174" s="2" t="s">
        <v>68</v>
      </c>
      <c r="E174" s="2"/>
      <c r="F174" s="2"/>
      <c r="G174" s="2"/>
      <c r="H174" s="2">
        <v>0.39700000000000002</v>
      </c>
    </row>
    <row r="175" spans="1:8" x14ac:dyDescent="0.3">
      <c r="D175" s="2" t="s">
        <v>69</v>
      </c>
      <c r="E175" s="2"/>
      <c r="F175" s="2"/>
      <c r="G175" s="2"/>
      <c r="H175" s="2">
        <v>0.21199999999999999</v>
      </c>
    </row>
    <row r="178" spans="2:9" x14ac:dyDescent="0.3">
      <c r="B178" s="1" t="s">
        <v>70</v>
      </c>
      <c r="C178" s="1"/>
      <c r="D178" s="1"/>
    </row>
    <row r="179" spans="2:9" x14ac:dyDescent="0.3">
      <c r="B179" t="s">
        <v>71</v>
      </c>
      <c r="C179" s="8">
        <f>4-SUM(C180:C182)</f>
        <v>1.7479999999999998</v>
      </c>
    </row>
    <row r="180" spans="2:9" x14ac:dyDescent="0.3">
      <c r="B180" t="s">
        <v>72</v>
      </c>
      <c r="C180" s="8">
        <f>+B159*$B$158/$B$157</f>
        <v>1.516</v>
      </c>
    </row>
    <row r="181" spans="2:9" x14ac:dyDescent="0.3">
      <c r="B181" t="s">
        <v>73</v>
      </c>
      <c r="C181" s="8">
        <f t="shared" ref="C181:C182" si="38">+B160*$B$158/$B$157</f>
        <v>0.504</v>
      </c>
    </row>
    <row r="182" spans="2:9" x14ac:dyDescent="0.3">
      <c r="B182" t="s">
        <v>74</v>
      </c>
      <c r="C182" s="8">
        <f t="shared" si="38"/>
        <v>0.23200000000000001</v>
      </c>
    </row>
    <row r="185" spans="2:9" x14ac:dyDescent="0.3">
      <c r="B185" s="8" t="s">
        <v>75</v>
      </c>
      <c r="C185" s="8"/>
      <c r="D185" s="8"/>
    </row>
    <row r="188" spans="2:9" x14ac:dyDescent="0.3">
      <c r="F188" t="s">
        <v>26</v>
      </c>
      <c r="G188" t="s">
        <v>27</v>
      </c>
      <c r="H188" t="s">
        <v>28</v>
      </c>
      <c r="I188" t="s">
        <v>29</v>
      </c>
    </row>
    <row r="189" spans="2:9" x14ac:dyDescent="0.3">
      <c r="B189" s="2" t="s">
        <v>76</v>
      </c>
      <c r="C189" s="2">
        <f>+SQRT($B$157)*B163</f>
        <v>-2.5880108191427635</v>
      </c>
      <c r="E189" t="s">
        <v>0</v>
      </c>
      <c r="F189">
        <v>2.4359999999999999</v>
      </c>
      <c r="G189">
        <v>2.9319999999999999</v>
      </c>
      <c r="H189">
        <v>-1.6080000000000001</v>
      </c>
      <c r="I189">
        <v>0.94</v>
      </c>
    </row>
    <row r="190" spans="2:9" x14ac:dyDescent="0.3">
      <c r="B190" s="2" t="s">
        <v>77</v>
      </c>
      <c r="C190" s="2">
        <f>+SQRT($B$157)*B164</f>
        <v>2.7662017280017737</v>
      </c>
      <c r="E190" t="s">
        <v>1</v>
      </c>
      <c r="F190">
        <v>3.06</v>
      </c>
      <c r="G190">
        <v>2.3580000000000001</v>
      </c>
      <c r="H190">
        <v>1.355</v>
      </c>
      <c r="I190">
        <v>-1.113</v>
      </c>
    </row>
    <row r="191" spans="2:9" x14ac:dyDescent="0.3">
      <c r="B191" s="2" t="s">
        <v>78</v>
      </c>
      <c r="C191" s="2">
        <f>+SQRT($B$157)*B165</f>
        <v>1.6843283527863562</v>
      </c>
      <c r="E191" t="s">
        <v>2</v>
      </c>
      <c r="F191">
        <f>+C189</f>
        <v>-2.5880108191427635</v>
      </c>
      <c r="G191">
        <f>+C190</f>
        <v>2.7662017280017737</v>
      </c>
      <c r="H191">
        <f>+C191</f>
        <v>1.6843283527863562</v>
      </c>
      <c r="I191">
        <f>+C192</f>
        <v>0.89943982566928837</v>
      </c>
    </row>
    <row r="192" spans="2:9" x14ac:dyDescent="0.3">
      <c r="B192" s="2" t="s">
        <v>79</v>
      </c>
      <c r="C192" s="2">
        <f>+SQRT($B$157)*B166</f>
        <v>0.89943982566928837</v>
      </c>
      <c r="E192" t="s">
        <v>3</v>
      </c>
      <c r="F192">
        <v>-3.077</v>
      </c>
      <c r="G192">
        <v>2.34</v>
      </c>
      <c r="H192">
        <v>-1.3440000000000001</v>
      </c>
      <c r="I192">
        <v>-1.119</v>
      </c>
    </row>
    <row r="195" spans="2:15" x14ac:dyDescent="0.3">
      <c r="B195" s="8" t="s">
        <v>80</v>
      </c>
      <c r="C195" s="8"/>
      <c r="D195" s="8"/>
    </row>
    <row r="197" spans="2:15" x14ac:dyDescent="0.3">
      <c r="B197" t="s">
        <v>81</v>
      </c>
      <c r="G197" t="s">
        <v>82</v>
      </c>
      <c r="L197" t="s">
        <v>83</v>
      </c>
    </row>
    <row r="198" spans="2:15" x14ac:dyDescent="0.3">
      <c r="B198">
        <f>+SQRT(C179)</f>
        <v>1.3221195104830727</v>
      </c>
      <c r="C198">
        <v>0</v>
      </c>
      <c r="D198">
        <v>0</v>
      </c>
      <c r="E198">
        <v>0</v>
      </c>
      <c r="G198" cm="1">
        <f t="array" ref="G198:J201">+MINVERSE(B198:E201)</f>
        <v>0.75636127602006453</v>
      </c>
      <c r="H198">
        <v>0</v>
      </c>
      <c r="I198">
        <v>0</v>
      </c>
      <c r="J198">
        <v>0</v>
      </c>
      <c r="L198">
        <f>+B198^2</f>
        <v>1.748</v>
      </c>
      <c r="M198">
        <f t="shared" ref="M198:O201" si="39">+C198^2</f>
        <v>0</v>
      </c>
      <c r="N198">
        <f t="shared" si="39"/>
        <v>0</v>
      </c>
      <c r="O198">
        <f t="shared" si="39"/>
        <v>0</v>
      </c>
    </row>
    <row r="199" spans="2:15" x14ac:dyDescent="0.3">
      <c r="B199">
        <v>0</v>
      </c>
      <c r="C199">
        <f>+SQRT(C180)</f>
        <v>1.2312595177297108</v>
      </c>
      <c r="D199">
        <v>0</v>
      </c>
      <c r="E199">
        <v>0</v>
      </c>
      <c r="G199">
        <v>0</v>
      </c>
      <c r="H199">
        <v>0.81217646288239498</v>
      </c>
      <c r="I199">
        <v>0</v>
      </c>
      <c r="J199">
        <v>0</v>
      </c>
      <c r="L199">
        <f t="shared" ref="L199:L201" si="40">+B199^2</f>
        <v>0</v>
      </c>
      <c r="M199">
        <f t="shared" si="39"/>
        <v>1.516</v>
      </c>
      <c r="N199">
        <f t="shared" si="39"/>
        <v>0</v>
      </c>
      <c r="O199">
        <f t="shared" si="39"/>
        <v>0</v>
      </c>
    </row>
    <row r="200" spans="2:15" x14ac:dyDescent="0.3">
      <c r="B200">
        <v>0</v>
      </c>
      <c r="C200">
        <v>0</v>
      </c>
      <c r="D200">
        <f>+SQRT(C181)</f>
        <v>0.70992957397195389</v>
      </c>
      <c r="E200">
        <v>0</v>
      </c>
      <c r="G200">
        <v>0</v>
      </c>
      <c r="H200">
        <v>0</v>
      </c>
      <c r="I200">
        <v>1.4085904245475278</v>
      </c>
      <c r="J200">
        <v>0</v>
      </c>
      <c r="L200">
        <f t="shared" si="40"/>
        <v>0</v>
      </c>
      <c r="M200">
        <f t="shared" si="39"/>
        <v>0</v>
      </c>
      <c r="N200">
        <f t="shared" si="39"/>
        <v>0.50399999999999989</v>
      </c>
      <c r="O200">
        <f t="shared" si="39"/>
        <v>0</v>
      </c>
    </row>
    <row r="201" spans="2:15" x14ac:dyDescent="0.3">
      <c r="B201">
        <v>0</v>
      </c>
      <c r="C201">
        <v>0</v>
      </c>
      <c r="D201">
        <v>0</v>
      </c>
      <c r="E201">
        <f>+SQRT(C182)</f>
        <v>0.48166378315169184</v>
      </c>
      <c r="G201">
        <v>0</v>
      </c>
      <c r="H201">
        <v>0</v>
      </c>
      <c r="I201">
        <v>0</v>
      </c>
      <c r="J201">
        <v>2.0761369963434992</v>
      </c>
      <c r="L201">
        <f t="shared" si="40"/>
        <v>0</v>
      </c>
      <c r="M201">
        <f t="shared" si="39"/>
        <v>0</v>
      </c>
      <c r="N201">
        <f t="shared" si="39"/>
        <v>0</v>
      </c>
      <c r="O201">
        <f t="shared" si="39"/>
        <v>0.23200000000000001</v>
      </c>
    </row>
    <row r="208" spans="2:15" x14ac:dyDescent="0.3">
      <c r="F208" t="s">
        <v>10</v>
      </c>
    </row>
    <row r="209" spans="2:11" x14ac:dyDescent="0.3">
      <c r="C209" cm="1">
        <f t="array" ref="C209:F212">+MMULT(F189:I192,_xlfn.ANCHORARRAY(G198))/SQRT(18)</f>
        <v>0.43428048808816655</v>
      </c>
      <c r="D209">
        <v>0.56127812011062961</v>
      </c>
      <c r="E209">
        <v>-0.53386877883602935</v>
      </c>
      <c r="F209">
        <v>0.45998917195318439</v>
      </c>
    </row>
    <row r="210" spans="2:11" x14ac:dyDescent="0.3">
      <c r="C210">
        <v>0.54552475104671161</v>
      </c>
      <c r="D210">
        <v>0.45139625075745726</v>
      </c>
      <c r="E210">
        <v>0.44987076823558436</v>
      </c>
      <c r="F210">
        <v>-0.54464675359988757</v>
      </c>
    </row>
    <row r="211" spans="2:11" x14ac:dyDescent="0.3">
      <c r="C211">
        <v>-0.46138037837223933</v>
      </c>
      <c r="D211">
        <v>0.52953905379932154</v>
      </c>
      <c r="E211">
        <v>0.55921039854536858</v>
      </c>
      <c r="F211">
        <v>0.44014104322482184</v>
      </c>
    </row>
    <row r="212" spans="2:11" x14ac:dyDescent="0.3">
      <c r="C212">
        <v>-0.54855544410808221</v>
      </c>
      <c r="D212">
        <v>0.44795047785091174</v>
      </c>
      <c r="E212">
        <v>-0.44621868081817373</v>
      </c>
      <c r="F212">
        <v>-0.54758285469746104</v>
      </c>
    </row>
    <row r="215" spans="2:11" x14ac:dyDescent="0.3">
      <c r="B215" s="8" t="s">
        <v>84</v>
      </c>
      <c r="C215" s="8"/>
      <c r="D215" s="8"/>
      <c r="E215" s="8"/>
      <c r="F215" s="8"/>
    </row>
    <row r="216" spans="2:11" x14ac:dyDescent="0.3">
      <c r="F216" t="s">
        <v>85</v>
      </c>
    </row>
    <row r="217" spans="2:11" x14ac:dyDescent="0.3">
      <c r="C217">
        <f>+C209*$C$179</f>
        <v>0.75912229317811508</v>
      </c>
      <c r="D217">
        <f>+D209*$C$180</f>
        <v>0.85089763008771446</v>
      </c>
      <c r="E217">
        <f>+E209*$C$181</f>
        <v>-0.26906986453335879</v>
      </c>
      <c r="F217">
        <f>+F209*$C$182</f>
        <v>0.10671748789313878</v>
      </c>
    </row>
    <row r="218" spans="2:11" x14ac:dyDescent="0.3">
      <c r="C218">
        <f>+C210*$C$179</f>
        <v>0.95357726482965177</v>
      </c>
      <c r="D218">
        <f>+D210*$C$180</f>
        <v>0.68431671614830525</v>
      </c>
      <c r="E218">
        <f>+E210*$C$181</f>
        <v>0.22673486719073452</v>
      </c>
      <c r="F218">
        <f>+F210*$C$182</f>
        <v>-0.12635804683517393</v>
      </c>
    </row>
    <row r="219" spans="2:11" x14ac:dyDescent="0.3">
      <c r="C219">
        <f>+C211*$C$179</f>
        <v>-0.80649290139467422</v>
      </c>
      <c r="D219">
        <f>+D211*$C$180</f>
        <v>0.8027812055597715</v>
      </c>
      <c r="E219">
        <f>+E211*$C$181</f>
        <v>0.28184204086686576</v>
      </c>
      <c r="F219">
        <f>+F211*$C$182</f>
        <v>0.10211272202815867</v>
      </c>
    </row>
    <row r="220" spans="2:11" x14ac:dyDescent="0.3">
      <c r="C220">
        <f>+C212*$C$179</f>
        <v>-0.95887491630092758</v>
      </c>
      <c r="D220">
        <f>+D212*$C$180</f>
        <v>0.67909292442198221</v>
      </c>
      <c r="E220">
        <f>+E212*$C$181</f>
        <v>-0.22489421513235955</v>
      </c>
      <c r="F220">
        <f>+F212*$C$182</f>
        <v>-0.12703922228981096</v>
      </c>
    </row>
    <row r="222" spans="2:11" x14ac:dyDescent="0.3">
      <c r="F222" s="21" t="s">
        <v>57</v>
      </c>
    </row>
    <row r="223" spans="2:11" x14ac:dyDescent="0.3">
      <c r="C223" s="4" cm="1">
        <f t="array" ref="C223:F226">+MMULT(C217:F220,TRANSPOSE(_xlfn.ANCHORARRAY(C209)))</f>
        <v>0.99999911111111128</v>
      </c>
      <c r="D223" s="4">
        <v>0.61904200000000009</v>
      </c>
      <c r="E223" s="4">
        <v>-3.1565246712168746E-3</v>
      </c>
      <c r="F223" s="4">
        <v>2.636666666666674E-2</v>
      </c>
      <c r="H223" s="22" cm="1">
        <f t="array" ref="H223:K226">+MMULT(_xlfn.ANCHORARRAY(C209),MMULT(L198:O201,TRANSPOSE(_xlfn.ANCHORARRAY(C209))))</f>
        <v>0.99999911111111128</v>
      </c>
      <c r="I223" s="22">
        <v>0.61904200000000009</v>
      </c>
      <c r="J223" s="22">
        <v>-3.1565246712167844E-3</v>
      </c>
      <c r="K223" s="22">
        <v>2.6366666666666712E-2</v>
      </c>
    </row>
    <row r="224" spans="2:11" x14ac:dyDescent="0.3">
      <c r="C224" s="4">
        <v>0.61904200000000009</v>
      </c>
      <c r="D224" s="4">
        <v>0.99991988888888905</v>
      </c>
      <c r="E224" s="5">
        <v>-6.4122799940598205E-3</v>
      </c>
      <c r="F224" s="5">
        <v>-0.24853183333333323</v>
      </c>
      <c r="H224" s="22">
        <v>0.61904200000000009</v>
      </c>
      <c r="I224" s="22">
        <v>0.99991988888888905</v>
      </c>
      <c r="J224" s="22">
        <v>-6.4122799940599037E-3</v>
      </c>
      <c r="K224" s="22">
        <v>-0.24853183333333334</v>
      </c>
    </row>
    <row r="225" spans="3:11" x14ac:dyDescent="0.3">
      <c r="C225" s="4">
        <v>-3.1565246712167566E-3</v>
      </c>
      <c r="D225" s="4">
        <v>-6.4122799940598205E-3</v>
      </c>
      <c r="E225" s="4">
        <v>0.9997569999999999</v>
      </c>
      <c r="F225" s="4">
        <v>0.62033393683097993</v>
      </c>
      <c r="H225" s="22">
        <v>-3.1565246712168468E-3</v>
      </c>
      <c r="I225" s="22">
        <v>-6.4122799940599037E-3</v>
      </c>
      <c r="J225" s="22">
        <v>0.99975700000000001</v>
      </c>
      <c r="K225" s="22">
        <v>0.62033393683097993</v>
      </c>
    </row>
    <row r="226" spans="3:11" x14ac:dyDescent="0.3">
      <c r="C226" s="4">
        <v>2.6366666666666781E-2</v>
      </c>
      <c r="D226" s="4">
        <v>-0.24853183333333323</v>
      </c>
      <c r="E226" s="4">
        <v>0.62033393683097993</v>
      </c>
      <c r="F226" s="4">
        <v>1.0001125555555554</v>
      </c>
      <c r="H226" s="22">
        <v>2.6366666666666712E-2</v>
      </c>
      <c r="I226" s="22">
        <v>-0.24853183333333329</v>
      </c>
      <c r="J226" s="22">
        <v>0.62033393683097993</v>
      </c>
      <c r="K226" s="22">
        <v>1.0001125555555554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DAMIAN CASAMEN ARIZO</dc:creator>
  <cp:lastModifiedBy>JORDAN DAMIAN CASAMEN ARIZO</cp:lastModifiedBy>
  <dcterms:created xsi:type="dcterms:W3CDTF">2026-03-20T20:06:30Z</dcterms:created>
  <dcterms:modified xsi:type="dcterms:W3CDTF">2026-03-20T20:07:49Z</dcterms:modified>
</cp:coreProperties>
</file>