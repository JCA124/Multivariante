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esktop\"/>
    </mc:Choice>
  </mc:AlternateContent>
  <xr:revisionPtr revIDLastSave="0" documentId="8_{D7EBD12C-E8DA-427A-B130-04D551D8AA8E}" xr6:coauthVersionLast="47" xr6:coauthVersionMax="47" xr10:uidLastSave="{00000000-0000-0000-0000-000000000000}"/>
  <bookViews>
    <workbookView xWindow="-108" yWindow="-108" windowWidth="23256" windowHeight="12456" xr2:uid="{4E099A65-A7A9-4A28-B974-7A80223EBD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 a="1"/>
  <c r="G214" i="1" l="1"/>
  <c r="H214" i="1" s="1"/>
  <c r="G210" i="1"/>
  <c r="H210" i="1" s="1"/>
  <c r="G206" i="1"/>
  <c r="H206" i="1" s="1"/>
  <c r="G202" i="1"/>
  <c r="H202" i="1" s="1"/>
  <c r="G198" i="1"/>
  <c r="H198" i="1" s="1"/>
  <c r="G194" i="1"/>
  <c r="H194" i="1" s="1"/>
  <c r="G190" i="1"/>
  <c r="H190" i="1" s="1"/>
  <c r="G186" i="1"/>
  <c r="H186" i="1" s="1"/>
  <c r="G182" i="1"/>
  <c r="H182" i="1" s="1"/>
  <c r="G178" i="1"/>
  <c r="H178" i="1" s="1"/>
  <c r="G174" i="1"/>
  <c r="H174" i="1" s="1"/>
  <c r="G170" i="1"/>
  <c r="H170" i="1" s="1"/>
  <c r="G166" i="1"/>
  <c r="H166" i="1" s="1"/>
  <c r="G162" i="1"/>
  <c r="H162" i="1" s="1"/>
  <c r="G158" i="1"/>
  <c r="H158" i="1" s="1"/>
  <c r="G154" i="1"/>
  <c r="H154" i="1" s="1"/>
  <c r="G150" i="1"/>
  <c r="H150" i="1" s="1"/>
  <c r="G146" i="1"/>
  <c r="H146" i="1" s="1"/>
  <c r="G142" i="1"/>
  <c r="H142" i="1" s="1"/>
  <c r="G138" i="1"/>
  <c r="H138" i="1" s="1"/>
  <c r="G134" i="1"/>
  <c r="H134" i="1" s="1"/>
  <c r="G130" i="1"/>
  <c r="H130" i="1" s="1"/>
  <c r="G126" i="1"/>
  <c r="H126" i="1" s="1"/>
  <c r="G122" i="1"/>
  <c r="H122" i="1" s="1"/>
  <c r="G118" i="1"/>
  <c r="H118" i="1" s="1"/>
  <c r="G114" i="1"/>
  <c r="H114" i="1" s="1"/>
  <c r="G110" i="1"/>
  <c r="H110" i="1" s="1"/>
  <c r="G106" i="1"/>
  <c r="H106" i="1" s="1"/>
  <c r="G208" i="1"/>
  <c r="H208" i="1" s="1"/>
  <c r="G195" i="1"/>
  <c r="H195" i="1" s="1"/>
  <c r="G189" i="1"/>
  <c r="H189" i="1" s="1"/>
  <c r="G176" i="1"/>
  <c r="H176" i="1" s="1"/>
  <c r="G163" i="1"/>
  <c r="H163" i="1" s="1"/>
  <c r="G157" i="1"/>
  <c r="H157" i="1" s="1"/>
  <c r="G144" i="1"/>
  <c r="H144" i="1" s="1"/>
  <c r="G131" i="1"/>
  <c r="H131" i="1" s="1"/>
  <c r="G125" i="1"/>
  <c r="H125" i="1" s="1"/>
  <c r="G123" i="1"/>
  <c r="H123" i="1" s="1"/>
  <c r="G116" i="1"/>
  <c r="H116" i="1" s="1"/>
  <c r="G109" i="1"/>
  <c r="H109" i="1" s="1"/>
  <c r="G107" i="1"/>
  <c r="H107" i="1" s="1"/>
  <c r="G101" i="1"/>
  <c r="H101" i="1" s="1"/>
  <c r="G97" i="1"/>
  <c r="H97" i="1" s="1"/>
  <c r="G93" i="1"/>
  <c r="H93" i="1" s="1"/>
  <c r="G89" i="1"/>
  <c r="H89" i="1" s="1"/>
  <c r="G85" i="1"/>
  <c r="H85" i="1" s="1"/>
  <c r="G81" i="1"/>
  <c r="H81" i="1" s="1"/>
  <c r="G77" i="1"/>
  <c r="H77" i="1" s="1"/>
  <c r="G73" i="1"/>
  <c r="H73" i="1" s="1"/>
  <c r="G69" i="1"/>
  <c r="H69" i="1" s="1"/>
  <c r="G65" i="1"/>
  <c r="H65" i="1" s="1"/>
  <c r="G61" i="1"/>
  <c r="H61" i="1" s="1"/>
  <c r="G57" i="1"/>
  <c r="H57" i="1" s="1"/>
  <c r="G53" i="1"/>
  <c r="H53" i="1" s="1"/>
  <c r="G49" i="1"/>
  <c r="H49" i="1" s="1"/>
  <c r="G212" i="1"/>
  <c r="H212" i="1" s="1"/>
  <c r="G199" i="1"/>
  <c r="H199" i="1" s="1"/>
  <c r="G193" i="1"/>
  <c r="H193" i="1" s="1"/>
  <c r="G180" i="1"/>
  <c r="H180" i="1" s="1"/>
  <c r="G167" i="1"/>
  <c r="H167" i="1" s="1"/>
  <c r="G161" i="1"/>
  <c r="H161" i="1" s="1"/>
  <c r="G148" i="1"/>
  <c r="H148" i="1" s="1"/>
  <c r="G135" i="1"/>
  <c r="H135" i="1" s="1"/>
  <c r="G129" i="1"/>
  <c r="H129" i="1" s="1"/>
  <c r="G216" i="1"/>
  <c r="H216" i="1" s="1"/>
  <c r="G203" i="1"/>
  <c r="H203" i="1" s="1"/>
  <c r="G197" i="1"/>
  <c r="H197" i="1" s="1"/>
  <c r="G184" i="1"/>
  <c r="H184" i="1" s="1"/>
  <c r="G171" i="1"/>
  <c r="H171" i="1" s="1"/>
  <c r="G165" i="1"/>
  <c r="H165" i="1" s="1"/>
  <c r="G152" i="1"/>
  <c r="H152" i="1" s="1"/>
  <c r="G139" i="1"/>
  <c r="H139" i="1" s="1"/>
  <c r="G133" i="1"/>
  <c r="H133" i="1" s="1"/>
  <c r="G121" i="1"/>
  <c r="H121" i="1" s="1"/>
  <c r="G119" i="1"/>
  <c r="H119" i="1" s="1"/>
  <c r="G112" i="1"/>
  <c r="H112" i="1" s="1"/>
  <c r="G105" i="1"/>
  <c r="H105" i="1" s="1"/>
  <c r="G102" i="1"/>
  <c r="H102" i="1" s="1"/>
  <c r="G98" i="1"/>
  <c r="H98" i="1" s="1"/>
  <c r="G94" i="1"/>
  <c r="H94" i="1" s="1"/>
  <c r="G90" i="1"/>
  <c r="H90" i="1" s="1"/>
  <c r="G86" i="1"/>
  <c r="H86" i="1" s="1"/>
  <c r="G82" i="1"/>
  <c r="H82" i="1" s="1"/>
  <c r="G78" i="1"/>
  <c r="H78" i="1" s="1"/>
  <c r="G74" i="1"/>
  <c r="H74" i="1" s="1"/>
  <c r="G70" i="1"/>
  <c r="H70" i="1" s="1"/>
  <c r="G66" i="1"/>
  <c r="H66" i="1" s="1"/>
  <c r="G213" i="1"/>
  <c r="H213" i="1" s="1"/>
  <c r="G192" i="1"/>
  <c r="H192" i="1" s="1"/>
  <c r="G172" i="1"/>
  <c r="H172" i="1" s="1"/>
  <c r="G151" i="1"/>
  <c r="H151" i="1" s="1"/>
  <c r="G141" i="1"/>
  <c r="H141" i="1" s="1"/>
  <c r="G124" i="1"/>
  <c r="H124" i="1" s="1"/>
  <c r="G113" i="1"/>
  <c r="H113" i="1" s="1"/>
  <c r="G100" i="1"/>
  <c r="H100" i="1" s="1"/>
  <c r="G87" i="1"/>
  <c r="H87" i="1" s="1"/>
  <c r="G68" i="1"/>
  <c r="H68" i="1" s="1"/>
  <c r="G30" i="1"/>
  <c r="H30" i="1" s="1"/>
  <c r="G24" i="1"/>
  <c r="H24" i="1" s="1"/>
  <c r="G209" i="1"/>
  <c r="H209" i="1" s="1"/>
  <c r="G188" i="1"/>
  <c r="H188" i="1" s="1"/>
  <c r="G168" i="1"/>
  <c r="H168" i="1" s="1"/>
  <c r="G147" i="1"/>
  <c r="H147" i="1" s="1"/>
  <c r="G137" i="1"/>
  <c r="H137" i="1" s="1"/>
  <c r="G127" i="1"/>
  <c r="H127" i="1" s="1"/>
  <c r="G115" i="1"/>
  <c r="H115" i="1" s="1"/>
  <c r="G104" i="1"/>
  <c r="H104" i="1" s="1"/>
  <c r="G91" i="1"/>
  <c r="H91" i="1" s="1"/>
  <c r="G72" i="1"/>
  <c r="H72" i="1" s="1"/>
  <c r="G60" i="1"/>
  <c r="H60" i="1" s="1"/>
  <c r="G58" i="1"/>
  <c r="H58" i="1" s="1"/>
  <c r="G51" i="1"/>
  <c r="H51" i="1" s="1"/>
  <c r="G43" i="1"/>
  <c r="H43" i="1" s="1"/>
  <c r="G39" i="1"/>
  <c r="H39" i="1" s="1"/>
  <c r="G35" i="1"/>
  <c r="H35" i="1" s="1"/>
  <c r="G31" i="1"/>
  <c r="H31" i="1" s="1"/>
  <c r="G25" i="1"/>
  <c r="H25" i="1" s="1"/>
  <c r="G211" i="1"/>
  <c r="H211" i="1" s="1"/>
  <c r="G201" i="1"/>
  <c r="H201" i="1" s="1"/>
  <c r="G181" i="1"/>
  <c r="H181" i="1" s="1"/>
  <c r="G99" i="1"/>
  <c r="H99" i="1" s="1"/>
  <c r="G63" i="1"/>
  <c r="H63" i="1" s="1"/>
  <c r="G54" i="1"/>
  <c r="H54" i="1" s="1"/>
  <c r="G44" i="1"/>
  <c r="H44" i="1" s="1"/>
  <c r="G36" i="1"/>
  <c r="H36" i="1" s="1"/>
  <c r="G207" i="1"/>
  <c r="H207" i="1" s="1"/>
  <c r="G187" i="1"/>
  <c r="H187" i="1" s="1"/>
  <c r="G156" i="1"/>
  <c r="H156" i="1" s="1"/>
  <c r="G136" i="1"/>
  <c r="H136" i="1" s="1"/>
  <c r="G120" i="1"/>
  <c r="H120" i="1" s="1"/>
  <c r="G117" i="1"/>
  <c r="H117" i="1" s="1"/>
  <c r="G84" i="1"/>
  <c r="H84" i="1" s="1"/>
  <c r="G215" i="1"/>
  <c r="H215" i="1" s="1"/>
  <c r="G205" i="1"/>
  <c r="H205" i="1" s="1"/>
  <c r="G185" i="1"/>
  <c r="H185" i="1" s="1"/>
  <c r="G164" i="1"/>
  <c r="H164" i="1" s="1"/>
  <c r="G143" i="1"/>
  <c r="H143" i="1" s="1"/>
  <c r="G95" i="1"/>
  <c r="H95" i="1" s="1"/>
  <c r="G76" i="1"/>
  <c r="H76" i="1" s="1"/>
  <c r="G26" i="1"/>
  <c r="H26" i="1" s="1"/>
  <c r="G191" i="1"/>
  <c r="H191" i="1" s="1"/>
  <c r="G160" i="1"/>
  <c r="H160" i="1" s="1"/>
  <c r="G140" i="1"/>
  <c r="H140" i="1" s="1"/>
  <c r="G80" i="1"/>
  <c r="H80" i="1" s="1"/>
  <c r="G67" i="1"/>
  <c r="H67" i="1" s="1"/>
  <c r="G56" i="1"/>
  <c r="H56" i="1" s="1"/>
  <c r="G47" i="1"/>
  <c r="H47" i="1" s="1"/>
  <c r="G40" i="1"/>
  <c r="H40" i="1" s="1"/>
  <c r="G32" i="1"/>
  <c r="H32" i="1" s="1"/>
  <c r="G177" i="1"/>
  <c r="H177" i="1" s="1"/>
  <c r="G103" i="1"/>
  <c r="H103" i="1" s="1"/>
  <c r="G71" i="1"/>
  <c r="H71" i="1" s="1"/>
  <c r="G75" i="1"/>
  <c r="H75" i="1" s="1"/>
  <c r="G155" i="1"/>
  <c r="H155" i="1" s="1"/>
  <c r="G200" i="1"/>
  <c r="H200" i="1" s="1"/>
  <c r="G48" i="1"/>
  <c r="H48" i="1" s="1"/>
  <c r="G149" i="1"/>
  <c r="H149" i="1" s="1"/>
  <c r="G46" i="1"/>
  <c r="H46" i="1" s="1"/>
  <c r="G64" i="1"/>
  <c r="H64" i="1" s="1"/>
  <c r="G145" i="1"/>
  <c r="H145" i="1" s="1"/>
  <c r="G23" i="1"/>
  <c r="H23" i="1" s="1"/>
  <c r="G59" i="1"/>
  <c r="H59" i="1" s="1"/>
  <c r="G19" i="1"/>
  <c r="H19" i="1" s="1"/>
  <c r="G33" i="1"/>
  <c r="H33" i="1" s="1"/>
  <c r="G41" i="1"/>
  <c r="H41" i="1" s="1"/>
  <c r="G50" i="1"/>
  <c r="H50" i="1" s="1"/>
  <c r="G21" i="1"/>
  <c r="H21" i="1" s="1"/>
  <c r="G88" i="1"/>
  <c r="H88" i="1" s="1"/>
  <c r="G183" i="1"/>
  <c r="H183" i="1" s="1"/>
  <c r="G34" i="1"/>
  <c r="H34" i="1" s="1"/>
  <c r="G18" i="1"/>
  <c r="H18" i="1" s="1"/>
  <c r="G52" i="1"/>
  <c r="H52" i="1" s="1"/>
  <c r="G62" i="1"/>
  <c r="H62" i="1" s="1"/>
  <c r="G96" i="1"/>
  <c r="H96" i="1" s="1"/>
  <c r="G159" i="1"/>
  <c r="H159" i="1" s="1"/>
  <c r="G196" i="1"/>
  <c r="H196" i="1" s="1"/>
  <c r="G204" i="1"/>
  <c r="H204" i="1" s="1"/>
  <c r="G22" i="1"/>
  <c r="H22" i="1" s="1"/>
  <c r="G27" i="1"/>
  <c r="H27" i="1" s="1"/>
  <c r="G179" i="1"/>
  <c r="H179" i="1" s="1"/>
  <c r="G38" i="1"/>
  <c r="H38" i="1" s="1"/>
  <c r="G92" i="1"/>
  <c r="H92" i="1" s="1"/>
  <c r="G153" i="1"/>
  <c r="H153" i="1" s="1"/>
  <c r="G28" i="1"/>
  <c r="H28" i="1" s="1"/>
  <c r="G55" i="1"/>
  <c r="H55" i="1" s="1"/>
  <c r="G111" i="1"/>
  <c r="H111" i="1" s="1"/>
  <c r="F17" i="1"/>
  <c r="G17" i="1" s="1"/>
  <c r="H17" i="1" s="1"/>
  <c r="G128" i="1"/>
  <c r="H128" i="1" s="1"/>
  <c r="G173" i="1"/>
  <c r="H173" i="1" s="1"/>
  <c r="G83" i="1"/>
  <c r="H83" i="1" s="1"/>
  <c r="G175" i="1"/>
  <c r="H175" i="1" s="1"/>
  <c r="G29" i="1"/>
  <c r="H29" i="1" s="1"/>
  <c r="G42" i="1"/>
  <c r="H42" i="1" s="1"/>
  <c r="G20" i="1"/>
  <c r="H20" i="1" s="1"/>
  <c r="G37" i="1"/>
  <c r="H37" i="1" s="1"/>
  <c r="G45" i="1"/>
  <c r="H45" i="1" s="1"/>
  <c r="G79" i="1"/>
  <c r="H79" i="1" s="1"/>
  <c r="G108" i="1"/>
  <c r="H108" i="1" s="1"/>
  <c r="G132" i="1"/>
  <c r="H132" i="1" s="1"/>
  <c r="G169" i="1"/>
  <c r="H169" i="1" s="1"/>
  <c r="L169" i="1" l="1"/>
  <c r="J169" i="1"/>
  <c r="I169" i="1"/>
  <c r="K169" i="1"/>
  <c r="L196" i="1"/>
  <c r="K196" i="1"/>
  <c r="J196" i="1"/>
  <c r="I196" i="1"/>
  <c r="L145" i="1"/>
  <c r="K145" i="1"/>
  <c r="J145" i="1"/>
  <c r="I145" i="1"/>
  <c r="L164" i="1"/>
  <c r="K164" i="1"/>
  <c r="J164" i="1"/>
  <c r="I164" i="1"/>
  <c r="K51" i="1"/>
  <c r="J51" i="1"/>
  <c r="L51" i="1"/>
  <c r="I51" i="1"/>
  <c r="I94" i="1"/>
  <c r="L94" i="1"/>
  <c r="K94" i="1"/>
  <c r="J94" i="1"/>
  <c r="L129" i="1"/>
  <c r="J129" i="1"/>
  <c r="K129" i="1"/>
  <c r="I129" i="1"/>
  <c r="L176" i="1"/>
  <c r="K176" i="1"/>
  <c r="J176" i="1"/>
  <c r="I176" i="1"/>
  <c r="K154" i="1"/>
  <c r="J154" i="1"/>
  <c r="I154" i="1"/>
  <c r="L154" i="1"/>
  <c r="L132" i="1"/>
  <c r="K132" i="1"/>
  <c r="J132" i="1"/>
  <c r="I132" i="1"/>
  <c r="J159" i="1"/>
  <c r="I159" i="1"/>
  <c r="L159" i="1"/>
  <c r="K159" i="1"/>
  <c r="K103" i="1"/>
  <c r="J103" i="1"/>
  <c r="I103" i="1"/>
  <c r="L103" i="1"/>
  <c r="J187" i="1"/>
  <c r="I187" i="1"/>
  <c r="K187" i="1"/>
  <c r="L187" i="1"/>
  <c r="J147" i="1"/>
  <c r="I147" i="1"/>
  <c r="L147" i="1"/>
  <c r="K147" i="1"/>
  <c r="I98" i="1"/>
  <c r="L98" i="1"/>
  <c r="K98" i="1"/>
  <c r="J98" i="1"/>
  <c r="J49" i="1"/>
  <c r="I49" i="1"/>
  <c r="K49" i="1"/>
  <c r="L49" i="1"/>
  <c r="L189" i="1"/>
  <c r="K189" i="1"/>
  <c r="J189" i="1"/>
  <c r="I189" i="1"/>
  <c r="L190" i="1"/>
  <c r="K190" i="1"/>
  <c r="J190" i="1"/>
  <c r="I190" i="1"/>
  <c r="L92" i="1"/>
  <c r="K92" i="1"/>
  <c r="I92" i="1"/>
  <c r="J92" i="1"/>
  <c r="L177" i="1"/>
  <c r="K177" i="1"/>
  <c r="J177" i="1"/>
  <c r="I177" i="1"/>
  <c r="L205" i="1"/>
  <c r="K205" i="1"/>
  <c r="J205" i="1"/>
  <c r="I205" i="1"/>
  <c r="L60" i="1"/>
  <c r="I60" i="1"/>
  <c r="J60" i="1"/>
  <c r="K60" i="1"/>
  <c r="I102" i="1"/>
  <c r="J102" i="1"/>
  <c r="L102" i="1"/>
  <c r="K102" i="1"/>
  <c r="L53" i="1"/>
  <c r="I53" i="1"/>
  <c r="K53" i="1"/>
  <c r="J53" i="1"/>
  <c r="J195" i="1"/>
  <c r="I195" i="1"/>
  <c r="L195" i="1"/>
  <c r="K195" i="1"/>
  <c r="L194" i="1"/>
  <c r="K194" i="1"/>
  <c r="I194" i="1"/>
  <c r="J194" i="1"/>
  <c r="L173" i="1"/>
  <c r="K173" i="1"/>
  <c r="J173" i="1"/>
  <c r="I173" i="1"/>
  <c r="L41" i="1"/>
  <c r="K41" i="1"/>
  <c r="J41" i="1"/>
  <c r="I41" i="1"/>
  <c r="J191" i="1"/>
  <c r="I191" i="1"/>
  <c r="L191" i="1"/>
  <c r="K191" i="1"/>
  <c r="L25" i="1"/>
  <c r="K25" i="1"/>
  <c r="I25" i="1"/>
  <c r="J25" i="1"/>
  <c r="L188" i="1"/>
  <c r="K188" i="1"/>
  <c r="J188" i="1"/>
  <c r="I188" i="1"/>
  <c r="I74" i="1"/>
  <c r="J74" i="1"/>
  <c r="L74" i="1"/>
  <c r="K74" i="1"/>
  <c r="K57" i="1"/>
  <c r="J57" i="1"/>
  <c r="L57" i="1"/>
  <c r="I57" i="1"/>
  <c r="I89" i="1"/>
  <c r="L89" i="1"/>
  <c r="K89" i="1"/>
  <c r="J89" i="1"/>
  <c r="L134" i="1"/>
  <c r="I134" i="1"/>
  <c r="K134" i="1"/>
  <c r="J134" i="1"/>
  <c r="L128" i="1"/>
  <c r="K128" i="1"/>
  <c r="J128" i="1"/>
  <c r="I128" i="1"/>
  <c r="L52" i="1"/>
  <c r="K52" i="1"/>
  <c r="I52" i="1"/>
  <c r="J52" i="1"/>
  <c r="J40" i="1"/>
  <c r="I40" i="1"/>
  <c r="K40" i="1"/>
  <c r="L40" i="1"/>
  <c r="J44" i="1"/>
  <c r="I44" i="1"/>
  <c r="L44" i="1"/>
  <c r="K44" i="1"/>
  <c r="L209" i="1"/>
  <c r="K209" i="1"/>
  <c r="J209" i="1"/>
  <c r="I209" i="1"/>
  <c r="I78" i="1"/>
  <c r="K78" i="1"/>
  <c r="J78" i="1"/>
  <c r="L78" i="1"/>
  <c r="L184" i="1"/>
  <c r="K184" i="1"/>
  <c r="J184" i="1"/>
  <c r="I184" i="1"/>
  <c r="L61" i="1"/>
  <c r="K61" i="1"/>
  <c r="I61" i="1"/>
  <c r="J61" i="1"/>
  <c r="J131" i="1"/>
  <c r="I131" i="1"/>
  <c r="L131" i="1"/>
  <c r="K131" i="1"/>
  <c r="L170" i="1"/>
  <c r="J170" i="1"/>
  <c r="K170" i="1"/>
  <c r="I170" i="1"/>
  <c r="K17" i="1"/>
  <c r="J17" i="1"/>
  <c r="I17" i="1"/>
  <c r="L17" i="1"/>
  <c r="L19" i="1"/>
  <c r="K19" i="1"/>
  <c r="I19" i="1"/>
  <c r="J19" i="1"/>
  <c r="L200" i="1"/>
  <c r="K200" i="1"/>
  <c r="J200" i="1"/>
  <c r="I200" i="1"/>
  <c r="K47" i="1"/>
  <c r="J47" i="1"/>
  <c r="L47" i="1"/>
  <c r="I47" i="1"/>
  <c r="L76" i="1"/>
  <c r="K76" i="1"/>
  <c r="I76" i="1"/>
  <c r="J76" i="1"/>
  <c r="K117" i="1"/>
  <c r="J117" i="1"/>
  <c r="I117" i="1"/>
  <c r="L117" i="1"/>
  <c r="I54" i="1"/>
  <c r="L54" i="1"/>
  <c r="K54" i="1"/>
  <c r="J54" i="1"/>
  <c r="J35" i="1"/>
  <c r="I35" i="1"/>
  <c r="L35" i="1"/>
  <c r="K35" i="1"/>
  <c r="L104" i="1"/>
  <c r="K104" i="1"/>
  <c r="J104" i="1"/>
  <c r="I104" i="1"/>
  <c r="L24" i="1"/>
  <c r="J24" i="1"/>
  <c r="I24" i="1"/>
  <c r="K24" i="1"/>
  <c r="J151" i="1"/>
  <c r="I151" i="1"/>
  <c r="K151" i="1"/>
  <c r="L151" i="1"/>
  <c r="I82" i="1"/>
  <c r="L82" i="1"/>
  <c r="K82" i="1"/>
  <c r="J82" i="1"/>
  <c r="J119" i="1"/>
  <c r="I119" i="1"/>
  <c r="K119" i="1"/>
  <c r="L119" i="1"/>
  <c r="L197" i="1"/>
  <c r="I197" i="1"/>
  <c r="J197" i="1"/>
  <c r="K197" i="1"/>
  <c r="L180" i="1"/>
  <c r="K180" i="1"/>
  <c r="J180" i="1"/>
  <c r="I180" i="1"/>
  <c r="K65" i="1"/>
  <c r="J65" i="1"/>
  <c r="I65" i="1"/>
  <c r="L65" i="1"/>
  <c r="K97" i="1"/>
  <c r="J97" i="1"/>
  <c r="I97" i="1"/>
  <c r="L97" i="1"/>
  <c r="L144" i="1"/>
  <c r="K144" i="1"/>
  <c r="J144" i="1"/>
  <c r="I144" i="1"/>
  <c r="K110" i="1"/>
  <c r="J110" i="1"/>
  <c r="I110" i="1"/>
  <c r="L110" i="1"/>
  <c r="L142" i="1"/>
  <c r="K142" i="1"/>
  <c r="I142" i="1"/>
  <c r="J142" i="1"/>
  <c r="L174" i="1"/>
  <c r="K174" i="1"/>
  <c r="J174" i="1"/>
  <c r="I174" i="1"/>
  <c r="I206" i="1"/>
  <c r="J206" i="1"/>
  <c r="K206" i="1"/>
  <c r="L206" i="1"/>
  <c r="K29" i="1"/>
  <c r="L29" i="1"/>
  <c r="I29" i="1"/>
  <c r="J29" i="1"/>
  <c r="L88" i="1"/>
  <c r="K88" i="1"/>
  <c r="J88" i="1"/>
  <c r="I88" i="1"/>
  <c r="L80" i="1"/>
  <c r="K80" i="1"/>
  <c r="J80" i="1"/>
  <c r="I80" i="1"/>
  <c r="L181" i="1"/>
  <c r="K181" i="1"/>
  <c r="J181" i="1"/>
  <c r="I181" i="1"/>
  <c r="K87" i="1"/>
  <c r="J87" i="1"/>
  <c r="I87" i="1"/>
  <c r="L87" i="1"/>
  <c r="J139" i="1"/>
  <c r="I139" i="1"/>
  <c r="L139" i="1"/>
  <c r="K139" i="1"/>
  <c r="K77" i="1"/>
  <c r="J77" i="1"/>
  <c r="L77" i="1"/>
  <c r="I77" i="1"/>
  <c r="L122" i="1"/>
  <c r="K122" i="1"/>
  <c r="J122" i="1"/>
  <c r="I122" i="1"/>
  <c r="J175" i="1"/>
  <c r="I175" i="1"/>
  <c r="L175" i="1"/>
  <c r="K175" i="1"/>
  <c r="K21" i="1"/>
  <c r="J21" i="1"/>
  <c r="I21" i="1"/>
  <c r="L21" i="1"/>
  <c r="L140" i="1"/>
  <c r="K140" i="1"/>
  <c r="J140" i="1"/>
  <c r="I140" i="1"/>
  <c r="L201" i="1"/>
  <c r="J201" i="1"/>
  <c r="I201" i="1"/>
  <c r="K201" i="1"/>
  <c r="L100" i="1"/>
  <c r="K100" i="1"/>
  <c r="J100" i="1"/>
  <c r="I100" i="1"/>
  <c r="L152" i="1"/>
  <c r="K152" i="1"/>
  <c r="J152" i="1"/>
  <c r="I152" i="1"/>
  <c r="L81" i="1"/>
  <c r="K81" i="1"/>
  <c r="I81" i="1"/>
  <c r="J81" i="1"/>
  <c r="L158" i="1"/>
  <c r="K158" i="1"/>
  <c r="J158" i="1"/>
  <c r="I158" i="1"/>
  <c r="K83" i="1"/>
  <c r="J83" i="1"/>
  <c r="I83" i="1"/>
  <c r="L83" i="1"/>
  <c r="I50" i="1"/>
  <c r="L50" i="1"/>
  <c r="K50" i="1"/>
  <c r="J50" i="1"/>
  <c r="L160" i="1"/>
  <c r="K160" i="1"/>
  <c r="J160" i="1"/>
  <c r="I160" i="1"/>
  <c r="J211" i="1"/>
  <c r="I211" i="1"/>
  <c r="L211" i="1"/>
  <c r="K211" i="1"/>
  <c r="L113" i="1"/>
  <c r="K113" i="1"/>
  <c r="I113" i="1"/>
  <c r="J113" i="1"/>
  <c r="L165" i="1"/>
  <c r="I165" i="1"/>
  <c r="K165" i="1"/>
  <c r="J165" i="1"/>
  <c r="L85" i="1"/>
  <c r="I85" i="1"/>
  <c r="K85" i="1"/>
  <c r="J85" i="1"/>
  <c r="L130" i="1"/>
  <c r="K130" i="1"/>
  <c r="J130" i="1"/>
  <c r="I130" i="1"/>
  <c r="K38" i="1"/>
  <c r="L38" i="1"/>
  <c r="I38" i="1"/>
  <c r="J38" i="1"/>
  <c r="L149" i="1"/>
  <c r="K149" i="1"/>
  <c r="J149" i="1"/>
  <c r="I149" i="1"/>
  <c r="J215" i="1"/>
  <c r="I215" i="1"/>
  <c r="L215" i="1"/>
  <c r="K215" i="1"/>
  <c r="L124" i="1"/>
  <c r="K124" i="1"/>
  <c r="J124" i="1"/>
  <c r="I124" i="1"/>
  <c r="J171" i="1"/>
  <c r="I171" i="1"/>
  <c r="L171" i="1"/>
  <c r="K171" i="1"/>
  <c r="L125" i="1"/>
  <c r="K125" i="1"/>
  <c r="J125" i="1"/>
  <c r="I125" i="1"/>
  <c r="L166" i="1"/>
  <c r="J166" i="1"/>
  <c r="K166" i="1"/>
  <c r="I166" i="1"/>
  <c r="J179" i="1"/>
  <c r="I179" i="1"/>
  <c r="L179" i="1"/>
  <c r="K179" i="1"/>
  <c r="I26" i="1"/>
  <c r="L26" i="1"/>
  <c r="K26" i="1"/>
  <c r="J26" i="1"/>
  <c r="K31" i="1"/>
  <c r="L31" i="1"/>
  <c r="J31" i="1"/>
  <c r="I31" i="1"/>
  <c r="L106" i="1"/>
  <c r="K106" i="1"/>
  <c r="J106" i="1"/>
  <c r="I106" i="1"/>
  <c r="L37" i="1"/>
  <c r="K37" i="1"/>
  <c r="J37" i="1"/>
  <c r="I37" i="1"/>
  <c r="L18" i="1"/>
  <c r="K18" i="1"/>
  <c r="J18" i="1"/>
  <c r="I18" i="1"/>
  <c r="L20" i="1"/>
  <c r="K20" i="1"/>
  <c r="J20" i="1"/>
  <c r="I20" i="1"/>
  <c r="J111" i="1"/>
  <c r="I111" i="1"/>
  <c r="K111" i="1"/>
  <c r="L111" i="1"/>
  <c r="K22" i="1"/>
  <c r="J22" i="1"/>
  <c r="I22" i="1"/>
  <c r="L22" i="1"/>
  <c r="L34" i="1"/>
  <c r="K34" i="1"/>
  <c r="I34" i="1"/>
  <c r="J34" i="1"/>
  <c r="K59" i="1"/>
  <c r="J59" i="1"/>
  <c r="L59" i="1"/>
  <c r="I59" i="1"/>
  <c r="J155" i="1"/>
  <c r="I155" i="1"/>
  <c r="L155" i="1"/>
  <c r="K155" i="1"/>
  <c r="L56" i="1"/>
  <c r="J56" i="1"/>
  <c r="I56" i="1"/>
  <c r="K56" i="1"/>
  <c r="K95" i="1"/>
  <c r="J95" i="1"/>
  <c r="I95" i="1"/>
  <c r="L95" i="1"/>
  <c r="L120" i="1"/>
  <c r="K120" i="1"/>
  <c r="J120" i="1"/>
  <c r="I120" i="1"/>
  <c r="K63" i="1"/>
  <c r="J63" i="1"/>
  <c r="L63" i="1"/>
  <c r="I63" i="1"/>
  <c r="K39" i="1"/>
  <c r="J39" i="1"/>
  <c r="I39" i="1"/>
  <c r="L39" i="1"/>
  <c r="J115" i="1"/>
  <c r="I115" i="1"/>
  <c r="L115" i="1"/>
  <c r="K115" i="1"/>
  <c r="L30" i="1"/>
  <c r="J30" i="1"/>
  <c r="K30" i="1"/>
  <c r="I30" i="1"/>
  <c r="L172" i="1"/>
  <c r="K172" i="1"/>
  <c r="J172" i="1"/>
  <c r="I172" i="1"/>
  <c r="I86" i="1"/>
  <c r="L86" i="1"/>
  <c r="J86" i="1"/>
  <c r="K86" i="1"/>
  <c r="I121" i="1"/>
  <c r="J121" i="1"/>
  <c r="K121" i="1"/>
  <c r="L121" i="1"/>
  <c r="J203" i="1"/>
  <c r="I203" i="1"/>
  <c r="L203" i="1"/>
  <c r="K203" i="1"/>
  <c r="L193" i="1"/>
  <c r="K193" i="1"/>
  <c r="J193" i="1"/>
  <c r="I193" i="1"/>
  <c r="L69" i="1"/>
  <c r="K69" i="1"/>
  <c r="J69" i="1"/>
  <c r="I69" i="1"/>
  <c r="L101" i="1"/>
  <c r="K101" i="1"/>
  <c r="J101" i="1"/>
  <c r="I101" i="1"/>
  <c r="L157" i="1"/>
  <c r="K157" i="1"/>
  <c r="J157" i="1"/>
  <c r="I157" i="1"/>
  <c r="I114" i="1"/>
  <c r="L114" i="1"/>
  <c r="K114" i="1"/>
  <c r="J114" i="1"/>
  <c r="I146" i="1"/>
  <c r="J146" i="1"/>
  <c r="L146" i="1"/>
  <c r="K146" i="1"/>
  <c r="I178" i="1"/>
  <c r="K178" i="1"/>
  <c r="J178" i="1"/>
  <c r="L178" i="1"/>
  <c r="I210" i="1"/>
  <c r="L210" i="1"/>
  <c r="K210" i="1"/>
  <c r="J210" i="1"/>
  <c r="L28" i="1"/>
  <c r="K28" i="1"/>
  <c r="J28" i="1"/>
  <c r="I28" i="1"/>
  <c r="K71" i="1"/>
  <c r="J71" i="1"/>
  <c r="I71" i="1"/>
  <c r="L71" i="1"/>
  <c r="L156" i="1"/>
  <c r="K156" i="1"/>
  <c r="J156" i="1"/>
  <c r="I156" i="1"/>
  <c r="L137" i="1"/>
  <c r="J137" i="1"/>
  <c r="I137" i="1"/>
  <c r="K137" i="1"/>
  <c r="L213" i="1"/>
  <c r="K213" i="1"/>
  <c r="J213" i="1"/>
  <c r="I213" i="1"/>
  <c r="L212" i="1"/>
  <c r="K212" i="1"/>
  <c r="J212" i="1"/>
  <c r="I212" i="1"/>
  <c r="K109" i="1"/>
  <c r="J109" i="1"/>
  <c r="I109" i="1"/>
  <c r="L109" i="1"/>
  <c r="K186" i="1"/>
  <c r="J186" i="1"/>
  <c r="I186" i="1"/>
  <c r="L186" i="1"/>
  <c r="L153" i="1"/>
  <c r="K153" i="1"/>
  <c r="J153" i="1"/>
  <c r="I153" i="1"/>
  <c r="L64" i="1"/>
  <c r="K64" i="1"/>
  <c r="J64" i="1"/>
  <c r="I64" i="1"/>
  <c r="L185" i="1"/>
  <c r="I185" i="1"/>
  <c r="K185" i="1"/>
  <c r="J185" i="1"/>
  <c r="I58" i="1"/>
  <c r="J58" i="1"/>
  <c r="L58" i="1"/>
  <c r="K58" i="1"/>
  <c r="I66" i="1"/>
  <c r="L66" i="1"/>
  <c r="K66" i="1"/>
  <c r="J66" i="1"/>
  <c r="J135" i="1"/>
  <c r="I135" i="1"/>
  <c r="K135" i="1"/>
  <c r="L135" i="1"/>
  <c r="L116" i="1"/>
  <c r="K116" i="1"/>
  <c r="I116" i="1"/>
  <c r="J116" i="1"/>
  <c r="L126" i="1"/>
  <c r="K126" i="1"/>
  <c r="J126" i="1"/>
  <c r="I126" i="1"/>
  <c r="L108" i="1"/>
  <c r="K108" i="1"/>
  <c r="J108" i="1"/>
  <c r="I108" i="1"/>
  <c r="L96" i="1"/>
  <c r="K96" i="1"/>
  <c r="J96" i="1"/>
  <c r="I96" i="1"/>
  <c r="I46" i="1"/>
  <c r="K46" i="1"/>
  <c r="L46" i="1"/>
  <c r="J46" i="1"/>
  <c r="J207" i="1"/>
  <c r="I207" i="1"/>
  <c r="L207" i="1"/>
  <c r="K207" i="1"/>
  <c r="L168" i="1"/>
  <c r="K168" i="1"/>
  <c r="J168" i="1"/>
  <c r="I168" i="1"/>
  <c r="I70" i="1"/>
  <c r="J70" i="1"/>
  <c r="L70" i="1"/>
  <c r="K70" i="1"/>
  <c r="L148" i="1"/>
  <c r="K148" i="1"/>
  <c r="J148" i="1"/>
  <c r="I148" i="1"/>
  <c r="J123" i="1"/>
  <c r="I123" i="1"/>
  <c r="L123" i="1"/>
  <c r="K123" i="1"/>
  <c r="L162" i="1"/>
  <c r="K162" i="1"/>
  <c r="J162" i="1"/>
  <c r="I162" i="1"/>
  <c r="K79" i="1"/>
  <c r="J79" i="1"/>
  <c r="I79" i="1"/>
  <c r="L79" i="1"/>
  <c r="I62" i="1"/>
  <c r="L62" i="1"/>
  <c r="J62" i="1"/>
  <c r="K62" i="1"/>
  <c r="J32" i="1"/>
  <c r="I32" i="1"/>
  <c r="K32" i="1"/>
  <c r="L32" i="1"/>
  <c r="J36" i="1"/>
  <c r="I36" i="1"/>
  <c r="K36" i="1"/>
  <c r="L36" i="1"/>
  <c r="L72" i="1"/>
  <c r="K72" i="1"/>
  <c r="J72" i="1"/>
  <c r="I72" i="1"/>
  <c r="I105" i="1"/>
  <c r="L105" i="1"/>
  <c r="K105" i="1"/>
  <c r="J105" i="1"/>
  <c r="L161" i="1"/>
  <c r="J161" i="1"/>
  <c r="I161" i="1"/>
  <c r="K161" i="1"/>
  <c r="L208" i="1"/>
  <c r="K208" i="1"/>
  <c r="J208" i="1"/>
  <c r="I208" i="1"/>
  <c r="L198" i="1"/>
  <c r="K198" i="1"/>
  <c r="J198" i="1"/>
  <c r="I198" i="1"/>
  <c r="L45" i="1"/>
  <c r="K45" i="1"/>
  <c r="I45" i="1"/>
  <c r="J45" i="1"/>
  <c r="L33" i="1"/>
  <c r="K33" i="1"/>
  <c r="I33" i="1"/>
  <c r="J33" i="1"/>
  <c r="L48" i="1"/>
  <c r="K48" i="1"/>
  <c r="I48" i="1"/>
  <c r="J48" i="1"/>
  <c r="L84" i="1"/>
  <c r="K84" i="1"/>
  <c r="J84" i="1"/>
  <c r="I84" i="1"/>
  <c r="K91" i="1"/>
  <c r="J91" i="1"/>
  <c r="I91" i="1"/>
  <c r="L91" i="1"/>
  <c r="L141" i="1"/>
  <c r="K141" i="1"/>
  <c r="J141" i="1"/>
  <c r="I141" i="1"/>
  <c r="L112" i="1"/>
  <c r="K112" i="1"/>
  <c r="I112" i="1"/>
  <c r="J112" i="1"/>
  <c r="J167" i="1"/>
  <c r="I167" i="1"/>
  <c r="K167" i="1"/>
  <c r="L167" i="1"/>
  <c r="J93" i="1"/>
  <c r="I93" i="1"/>
  <c r="L93" i="1"/>
  <c r="K93" i="1"/>
  <c r="L138" i="1"/>
  <c r="J138" i="1"/>
  <c r="K138" i="1"/>
  <c r="I138" i="1"/>
  <c r="J202" i="1"/>
  <c r="I202" i="1"/>
  <c r="K202" i="1"/>
  <c r="L202" i="1"/>
  <c r="K27" i="1"/>
  <c r="J27" i="1"/>
  <c r="I27" i="1"/>
  <c r="L27" i="1"/>
  <c r="L42" i="1"/>
  <c r="K42" i="1"/>
  <c r="I42" i="1"/>
  <c r="J42" i="1"/>
  <c r="K55" i="1"/>
  <c r="J55" i="1"/>
  <c r="L55" i="1"/>
  <c r="I55" i="1"/>
  <c r="L204" i="1"/>
  <c r="K204" i="1"/>
  <c r="J204" i="1"/>
  <c r="I204" i="1"/>
  <c r="J183" i="1"/>
  <c r="I183" i="1"/>
  <c r="L183" i="1"/>
  <c r="K183" i="1"/>
  <c r="L23" i="1"/>
  <c r="K23" i="1"/>
  <c r="J23" i="1"/>
  <c r="I23" i="1"/>
  <c r="K75" i="1"/>
  <c r="J75" i="1"/>
  <c r="I75" i="1"/>
  <c r="L75" i="1"/>
  <c r="K67" i="1"/>
  <c r="J67" i="1"/>
  <c r="I67" i="1"/>
  <c r="L67" i="1"/>
  <c r="J143" i="1"/>
  <c r="I143" i="1"/>
  <c r="L143" i="1"/>
  <c r="K143" i="1"/>
  <c r="L136" i="1"/>
  <c r="K136" i="1"/>
  <c r="J136" i="1"/>
  <c r="I136" i="1"/>
  <c r="K99" i="1"/>
  <c r="J99" i="1"/>
  <c r="I99" i="1"/>
  <c r="L99" i="1"/>
  <c r="J43" i="1"/>
  <c r="I43" i="1"/>
  <c r="L43" i="1"/>
  <c r="K43" i="1"/>
  <c r="J127" i="1"/>
  <c r="I127" i="1"/>
  <c r="K127" i="1"/>
  <c r="L127" i="1"/>
  <c r="L68" i="1"/>
  <c r="K68" i="1"/>
  <c r="J68" i="1"/>
  <c r="I68" i="1"/>
  <c r="L192" i="1"/>
  <c r="K192" i="1"/>
  <c r="J192" i="1"/>
  <c r="I192" i="1"/>
  <c r="I90" i="1"/>
  <c r="K90" i="1"/>
  <c r="L90" i="1"/>
  <c r="J90" i="1"/>
  <c r="L133" i="1"/>
  <c r="I133" i="1"/>
  <c r="K133" i="1"/>
  <c r="J133" i="1"/>
  <c r="L216" i="1"/>
  <c r="K216" i="1"/>
  <c r="J216" i="1"/>
  <c r="I216" i="1"/>
  <c r="J199" i="1"/>
  <c r="I199" i="1"/>
  <c r="K199" i="1"/>
  <c r="L199" i="1"/>
  <c r="L73" i="1"/>
  <c r="J73" i="1"/>
  <c r="I73" i="1"/>
  <c r="K73" i="1"/>
  <c r="J107" i="1"/>
  <c r="I107" i="1"/>
  <c r="L107" i="1"/>
  <c r="K107" i="1"/>
  <c r="J163" i="1"/>
  <c r="I163" i="1"/>
  <c r="L163" i="1"/>
  <c r="K163" i="1"/>
  <c r="J118" i="1"/>
  <c r="I118" i="1"/>
  <c r="K118" i="1"/>
  <c r="L118" i="1"/>
  <c r="J150" i="1"/>
  <c r="I150" i="1"/>
  <c r="L150" i="1"/>
  <c r="K150" i="1"/>
  <c r="J182" i="1"/>
  <c r="I182" i="1"/>
  <c r="L182" i="1"/>
  <c r="K182" i="1"/>
  <c r="J214" i="1"/>
  <c r="I214" i="1"/>
  <c r="L214" i="1"/>
  <c r="K214" i="1"/>
  <c r="O20" i="1" l="1"/>
  <c r="P18" i="1"/>
  <c r="P20" i="1"/>
  <c r="O18" i="1"/>
  <c r="R18" i="1" l="1"/>
  <c r="O19" i="1" s="1"/>
  <c r="O25" i="1" s="1"/>
  <c r="O29" i="1" s="1"/>
  <c r="R20" i="1"/>
  <c r="P21" i="1" s="1"/>
  <c r="O24" i="1" s="1"/>
  <c r="O28" i="1" s="1"/>
  <c r="O30" i="1" s="1"/>
  <c r="O21" i="1"/>
  <c r="P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<sst xmlns="http://schemas.openxmlformats.org/spreadsheetml/2006/main" count="37" uniqueCount="29">
  <si>
    <t>c) Regreseion logistica sobre</t>
  </si>
  <si>
    <t>Se realizó una regresion logistica sobre el conjunto de entrenamiento. En el archivo se incluyen las estimaciones de los coeficientes Beta</t>
  </si>
  <si>
    <t>Regresión Logística</t>
  </si>
  <si>
    <t>Constante</t>
  </si>
  <si>
    <t>X1</t>
  </si>
  <si>
    <t>X2</t>
  </si>
  <si>
    <t>X3</t>
  </si>
  <si>
    <t>X4</t>
  </si>
  <si>
    <t>Real-Predicho</t>
  </si>
  <si>
    <t>Conjunto de prueba</t>
  </si>
  <si>
    <t>VP</t>
  </si>
  <si>
    <t>VN</t>
  </si>
  <si>
    <t>FP</t>
  </si>
  <si>
    <t>FN</t>
  </si>
  <si>
    <t>c1) A la derecha escriba la matriz de confusion para los datos de prueba si se decide un umbral de 0,45; esto es,</t>
  </si>
  <si>
    <t>Buen</t>
  </si>
  <si>
    <t>n</t>
  </si>
  <si>
    <t>p</t>
  </si>
  <si>
    <t>Prediccion</t>
  </si>
  <si>
    <t>1-1</t>
  </si>
  <si>
    <t>0-0</t>
  </si>
  <si>
    <t>0-1</t>
  </si>
  <si>
    <t>1-0</t>
  </si>
  <si>
    <t xml:space="preserve"> si el resultado estimado para un individuo es mayor a 0,45 se lo considera un buen pagador</t>
  </si>
  <si>
    <t>C,2) Considerando la matriz de confusion anterior , las probabilidades a priori y los costos por cada 1000 prestamos otorgafos el ingreso bruto es:</t>
  </si>
  <si>
    <t>BUENOS</t>
  </si>
  <si>
    <t>MALOS</t>
  </si>
  <si>
    <t>GANANCIA</t>
  </si>
  <si>
    <t>PERDIDA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</si>
</sst>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49" fontId="2" fillId="2" borderId="0" xfId="0" applyNumberFormat="1" applyFont="1" applyFill="1" applyAlignment="1">
      <alignment horizontal="right"/>
    </xf>
    <xf numFmtId="2" fontId="0" fillId="2" borderId="0" xfId="0" applyNumberFormat="1" applyFill="1"/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DE89-201D-46C8-91D8-ACB2E9C85E4E}">
  <dimension ref="A2:U216"/>
  <sheetViews>
    <sheetView tabSelected="1" workbookViewId="0">
      <selection activeCell="F11" sqref="F11"/>
    </sheetView>
  </sheetViews>
  <sheetFormatPr baseColWidth="10" defaultRowHeight="14.4" x14ac:dyDescent="0.3"/>
  <sheetData>
    <row r="2" spans="1:20" x14ac:dyDescent="0.3">
      <c r="A2" t="s">
        <v>0</v>
      </c>
    </row>
    <row r="3" spans="1:20" x14ac:dyDescent="0.3">
      <c r="A3" t="s">
        <v>1</v>
      </c>
    </row>
    <row r="5" spans="1:20" x14ac:dyDescent="0.3">
      <c r="A5" s="1"/>
      <c r="B5" s="2" t="s">
        <v>2</v>
      </c>
    </row>
    <row r="6" spans="1:20" x14ac:dyDescent="0.3">
      <c r="A6" s="1" t="s">
        <v>3</v>
      </c>
      <c r="B6" s="1">
        <v>1.7300960000000001</v>
      </c>
    </row>
    <row r="7" spans="1:20" x14ac:dyDescent="0.3">
      <c r="A7" s="1" t="s">
        <v>4</v>
      </c>
      <c r="B7" s="1">
        <v>-0.16233251000000001</v>
      </c>
    </row>
    <row r="8" spans="1:20" x14ac:dyDescent="0.3">
      <c r="A8" s="1" t="s">
        <v>5</v>
      </c>
      <c r="B8" s="1">
        <v>5.5298496000000003E-2</v>
      </c>
    </row>
    <row r="9" spans="1:20" x14ac:dyDescent="0.3">
      <c r="A9" s="1" t="s">
        <v>6</v>
      </c>
      <c r="B9" s="1">
        <v>0.11621921</v>
      </c>
    </row>
    <row r="10" spans="1:20" x14ac:dyDescent="0.3">
      <c r="A10" s="1" t="s">
        <v>7</v>
      </c>
      <c r="B10" s="1">
        <v>-9.7587162000000002E-5</v>
      </c>
    </row>
    <row r="14" spans="1:20" x14ac:dyDescent="0.3">
      <c r="I14" s="3" t="s">
        <v>8</v>
      </c>
      <c r="J14" s="3"/>
      <c r="K14" s="3"/>
      <c r="L14" s="3"/>
    </row>
    <row r="15" spans="1:20" x14ac:dyDescent="0.3">
      <c r="A15" s="1"/>
      <c r="B15" s="1"/>
      <c r="C15" s="1"/>
      <c r="D15" s="1"/>
      <c r="E15" s="2" t="s">
        <v>9</v>
      </c>
      <c r="I15" t="s">
        <v>10</v>
      </c>
      <c r="J15" t="s">
        <v>11</v>
      </c>
      <c r="K15" t="s">
        <v>12</v>
      </c>
      <c r="L15" t="s">
        <v>13</v>
      </c>
      <c r="M15" s="4" t="s">
        <v>14</v>
      </c>
      <c r="N15" s="4"/>
      <c r="O15" s="4"/>
      <c r="P15" s="4"/>
      <c r="Q15" s="4"/>
      <c r="R15" s="4"/>
      <c r="S15" s="4"/>
      <c r="T15" s="4"/>
    </row>
    <row r="16" spans="1:20" x14ac:dyDescent="0.3">
      <c r="A16" s="2" t="s">
        <v>15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16</v>
      </c>
      <c r="G16" s="2" t="s">
        <v>17</v>
      </c>
      <c r="H16" s="2" t="s">
        <v>18</v>
      </c>
      <c r="I16" s="5" t="s">
        <v>19</v>
      </c>
      <c r="J16" s="2" t="s">
        <v>20</v>
      </c>
      <c r="K16" s="2" t="s">
        <v>21</v>
      </c>
      <c r="L16" s="2" t="s">
        <v>22</v>
      </c>
      <c r="M16" s="4" t="s">
        <v>23</v>
      </c>
      <c r="N16" s="4"/>
      <c r="O16" s="4"/>
      <c r="P16" s="4"/>
      <c r="Q16" s="4"/>
      <c r="R16" s="4"/>
      <c r="S16" s="4"/>
      <c r="T16" s="4"/>
    </row>
    <row r="17" spans="1:21" x14ac:dyDescent="0.3">
      <c r="A17" s="6">
        <v>1</v>
      </c>
      <c r="B17" s="1">
        <v>19.2</v>
      </c>
      <c r="C17" s="1">
        <v>9.6</v>
      </c>
      <c r="D17" s="1">
        <v>11.6</v>
      </c>
      <c r="E17" s="1">
        <v>803.3</v>
      </c>
      <c r="F17" cm="1">
        <f t="array" ref="F17:F216">+MMULT(B17:E216,B7:B10)+B6</f>
        <v>0.41392843836540005</v>
      </c>
      <c r="G17">
        <f>+EXP(F17)/(1+EXP(F17))</f>
        <v>0.6020294695407572</v>
      </c>
      <c r="H17">
        <f>+IF(G17&gt;0.45,1,0)</f>
        <v>1</v>
      </c>
      <c r="I17">
        <f>+IF(AND(A17=1,H17=1),1,0)</f>
        <v>1</v>
      </c>
      <c r="J17">
        <f>+IF(AND(A17=0,H17=0),1,0)</f>
        <v>0</v>
      </c>
      <c r="K17">
        <f>+IF(AND(A17=0,H17=1),1,0)</f>
        <v>0</v>
      </c>
      <c r="L17">
        <f>+IF(AND(A17=1,H17=0),1,0)</f>
        <v>0</v>
      </c>
      <c r="O17">
        <v>0</v>
      </c>
      <c r="P17">
        <v>1</v>
      </c>
    </row>
    <row r="18" spans="1:21" x14ac:dyDescent="0.3">
      <c r="A18" s="6">
        <v>1</v>
      </c>
      <c r="B18" s="1">
        <v>19</v>
      </c>
      <c r="C18" s="1">
        <v>22</v>
      </c>
      <c r="D18" s="1">
        <v>13.2</v>
      </c>
      <c r="E18" s="1">
        <v>415.7</v>
      </c>
      <c r="F18">
        <v>1.3558718107565997</v>
      </c>
      <c r="G18">
        <f t="shared" ref="G18:G81" si="0">+EXP(F18)/(1+EXP(F18))</f>
        <v>0.79508793956986623</v>
      </c>
      <c r="H18">
        <f t="shared" ref="H18:H81" si="1">+IF(G18&gt;0.45,1,0)</f>
        <v>1</v>
      </c>
      <c r="I18">
        <f t="shared" ref="I18:I81" si="2">+IF(AND(A18=1,H18=1),1,0)</f>
        <v>1</v>
      </c>
      <c r="J18">
        <f t="shared" ref="J18:J81" si="3">+IF(AND(A18=0,H18=0),1,0)</f>
        <v>0</v>
      </c>
      <c r="K18">
        <f t="shared" ref="K18:K81" si="4">+IF(AND(A18=0,H18=1),1,0)</f>
        <v>0</v>
      </c>
      <c r="L18">
        <f t="shared" ref="L18:L81" si="5">+IF(AND(A18=1,H18=0),1,0)</f>
        <v>0</v>
      </c>
      <c r="M18">
        <v>0</v>
      </c>
      <c r="N18" t="s">
        <v>11</v>
      </c>
      <c r="O18" s="7">
        <f>+COUNTIF(J16:J216,1)</f>
        <v>15</v>
      </c>
      <c r="P18" s="7">
        <f>+COUNTIF(K17:K216,1)</f>
        <v>38</v>
      </c>
      <c r="Q18" t="s">
        <v>12</v>
      </c>
      <c r="R18">
        <f>+P18+O18</f>
        <v>53</v>
      </c>
    </row>
    <row r="19" spans="1:21" x14ac:dyDescent="0.3">
      <c r="A19" s="6">
        <v>0</v>
      </c>
      <c r="B19" s="1">
        <v>19.399999999999999</v>
      </c>
      <c r="C19" s="1">
        <v>21</v>
      </c>
      <c r="D19" s="1">
        <v>3</v>
      </c>
      <c r="E19" s="1">
        <v>611.79999999999995</v>
      </c>
      <c r="F19">
        <v>3.1067526288399927E-2</v>
      </c>
      <c r="G19">
        <f t="shared" si="0"/>
        <v>0.50776625692191857</v>
      </c>
      <c r="H19">
        <f t="shared" si="1"/>
        <v>1</v>
      </c>
      <c r="I19">
        <f t="shared" si="2"/>
        <v>0</v>
      </c>
      <c r="J19">
        <f t="shared" si="3"/>
        <v>0</v>
      </c>
      <c r="K19">
        <f t="shared" si="4"/>
        <v>1</v>
      </c>
      <c r="L19">
        <f t="shared" si="5"/>
        <v>0</v>
      </c>
      <c r="M19">
        <v>1</v>
      </c>
      <c r="O19" s="7">
        <f>+O18/R18</f>
        <v>0.28301886792452829</v>
      </c>
      <c r="P19" s="7">
        <f>+P18/R18</f>
        <v>0.71698113207547165</v>
      </c>
    </row>
    <row r="20" spans="1:21" x14ac:dyDescent="0.3">
      <c r="A20" s="6">
        <v>0</v>
      </c>
      <c r="B20" s="1">
        <v>23.1</v>
      </c>
      <c r="C20" s="1">
        <v>10</v>
      </c>
      <c r="D20" s="1">
        <v>3</v>
      </c>
      <c r="E20" s="1">
        <v>898.8</v>
      </c>
      <c r="F20">
        <v>-1.2058537322056004</v>
      </c>
      <c r="G20">
        <f t="shared" si="0"/>
        <v>0.23043550734336737</v>
      </c>
      <c r="H20">
        <f t="shared" si="1"/>
        <v>0</v>
      </c>
      <c r="I20">
        <f t="shared" si="2"/>
        <v>0</v>
      </c>
      <c r="J20">
        <f t="shared" si="3"/>
        <v>1</v>
      </c>
      <c r="K20">
        <f t="shared" si="4"/>
        <v>0</v>
      </c>
      <c r="L20">
        <f t="shared" si="5"/>
        <v>0</v>
      </c>
      <c r="N20" t="s">
        <v>13</v>
      </c>
      <c r="O20" s="7">
        <f>+COUNTIF(L17:L216,1)</f>
        <v>13</v>
      </c>
      <c r="P20" s="7">
        <f>+COUNTIF(I17:I216,1)</f>
        <v>134</v>
      </c>
      <c r="Q20" t="s">
        <v>10</v>
      </c>
      <c r="R20">
        <f>+P20+O20</f>
        <v>147</v>
      </c>
    </row>
    <row r="21" spans="1:21" x14ac:dyDescent="0.3">
      <c r="A21" s="6">
        <v>0</v>
      </c>
      <c r="B21" s="1">
        <v>25.5</v>
      </c>
      <c r="C21" s="1">
        <v>11.1</v>
      </c>
      <c r="D21" s="1">
        <v>18.2</v>
      </c>
      <c r="E21" s="1">
        <v>880.7</v>
      </c>
      <c r="F21">
        <v>0.23367490902659993</v>
      </c>
      <c r="G21">
        <f t="shared" si="0"/>
        <v>0.55815434628541338</v>
      </c>
      <c r="H21">
        <f t="shared" si="1"/>
        <v>1</v>
      </c>
      <c r="I21">
        <f t="shared" si="2"/>
        <v>0</v>
      </c>
      <c r="J21">
        <f t="shared" si="3"/>
        <v>0</v>
      </c>
      <c r="K21">
        <f t="shared" si="4"/>
        <v>1</v>
      </c>
      <c r="L21">
        <f t="shared" si="5"/>
        <v>0</v>
      </c>
      <c r="O21" s="7">
        <f>+O20/R20</f>
        <v>8.8435374149659865E-2</v>
      </c>
      <c r="P21" s="7">
        <f>+P20/R20</f>
        <v>0.91156462585034015</v>
      </c>
    </row>
    <row r="22" spans="1:21" x14ac:dyDescent="0.3">
      <c r="A22" s="6">
        <v>1</v>
      </c>
      <c r="B22" s="1">
        <v>17.2</v>
      </c>
      <c r="C22" s="1">
        <v>10.1</v>
      </c>
      <c r="D22" s="1">
        <v>18.7</v>
      </c>
      <c r="E22" s="1">
        <v>529.6</v>
      </c>
      <c r="F22">
        <v>1.6181087036047999</v>
      </c>
      <c r="G22">
        <f t="shared" si="0"/>
        <v>0.8345341317374978</v>
      </c>
      <c r="H22">
        <f t="shared" si="1"/>
        <v>1</v>
      </c>
      <c r="I22">
        <f t="shared" si="2"/>
        <v>1</v>
      </c>
      <c r="J22">
        <f t="shared" si="3"/>
        <v>0</v>
      </c>
      <c r="K22">
        <f t="shared" si="4"/>
        <v>0</v>
      </c>
      <c r="L22">
        <f t="shared" si="5"/>
        <v>0</v>
      </c>
    </row>
    <row r="23" spans="1:21" x14ac:dyDescent="0.3">
      <c r="A23" s="6">
        <v>0</v>
      </c>
      <c r="B23" s="1">
        <v>23.3</v>
      </c>
      <c r="C23" s="1">
        <v>15.7</v>
      </c>
      <c r="D23" s="1">
        <v>27.5</v>
      </c>
      <c r="E23" s="1">
        <v>644.4</v>
      </c>
      <c r="F23">
        <v>1.9490780120071993</v>
      </c>
      <c r="G23">
        <f t="shared" si="0"/>
        <v>0.8753460736032932</v>
      </c>
      <c r="H23">
        <f t="shared" si="1"/>
        <v>1</v>
      </c>
      <c r="I23">
        <f t="shared" si="2"/>
        <v>0</v>
      </c>
      <c r="J23">
        <f t="shared" si="3"/>
        <v>0</v>
      </c>
      <c r="K23">
        <f t="shared" si="4"/>
        <v>1</v>
      </c>
      <c r="L23">
        <f t="shared" si="5"/>
        <v>0</v>
      </c>
      <c r="M23" s="4" t="s">
        <v>24</v>
      </c>
      <c r="N23" s="4"/>
      <c r="O23" s="4"/>
      <c r="P23" s="4"/>
      <c r="Q23" s="4"/>
      <c r="R23" s="4"/>
      <c r="S23" s="4"/>
      <c r="T23" s="4"/>
      <c r="U23" s="4"/>
    </row>
    <row r="24" spans="1:21" x14ac:dyDescent="0.3">
      <c r="A24" s="6">
        <v>1</v>
      </c>
      <c r="B24" s="1">
        <v>13.7</v>
      </c>
      <c r="C24" s="1">
        <v>27.3</v>
      </c>
      <c r="D24" s="1">
        <v>18.2</v>
      </c>
      <c r="E24" s="1">
        <v>726.4</v>
      </c>
      <c r="F24">
        <v>3.0600918613231998</v>
      </c>
      <c r="G24">
        <f t="shared" si="0"/>
        <v>0.95521622677539397</v>
      </c>
      <c r="H24">
        <f t="shared" si="1"/>
        <v>1</v>
      </c>
      <c r="I24">
        <f t="shared" si="2"/>
        <v>1</v>
      </c>
      <c r="J24">
        <f t="shared" si="3"/>
        <v>0</v>
      </c>
      <c r="K24">
        <f t="shared" si="4"/>
        <v>0</v>
      </c>
      <c r="L24">
        <f t="shared" si="5"/>
        <v>0</v>
      </c>
      <c r="N24" t="s">
        <v>25</v>
      </c>
      <c r="O24">
        <f>1000*P21</f>
        <v>911.56462585034012</v>
      </c>
    </row>
    <row r="25" spans="1:21" x14ac:dyDescent="0.3">
      <c r="A25" s="6">
        <v>1</v>
      </c>
      <c r="B25" s="1">
        <v>15</v>
      </c>
      <c r="C25" s="1">
        <v>20.9</v>
      </c>
      <c r="D25" s="1">
        <v>19.2</v>
      </c>
      <c r="E25" s="1">
        <v>815.2</v>
      </c>
      <c r="F25">
        <v>2.6027026939376001</v>
      </c>
      <c r="G25">
        <f t="shared" si="0"/>
        <v>0.93103531801985129</v>
      </c>
      <c r="H25">
        <f t="shared" si="1"/>
        <v>1</v>
      </c>
      <c r="I25">
        <f t="shared" si="2"/>
        <v>1</v>
      </c>
      <c r="J25">
        <f t="shared" si="3"/>
        <v>0</v>
      </c>
      <c r="K25">
        <f t="shared" si="4"/>
        <v>0</v>
      </c>
      <c r="L25">
        <f t="shared" si="5"/>
        <v>0</v>
      </c>
      <c r="N25" t="s">
        <v>26</v>
      </c>
      <c r="O25">
        <f>1000*O19</f>
        <v>283.01886792452831</v>
      </c>
    </row>
    <row r="26" spans="1:21" x14ac:dyDescent="0.3">
      <c r="A26" s="6">
        <v>1</v>
      </c>
      <c r="B26" s="1">
        <v>14.4</v>
      </c>
      <c r="C26" s="1">
        <v>16</v>
      </c>
      <c r="D26" s="1">
        <v>16</v>
      </c>
      <c r="E26" s="1">
        <v>797.4</v>
      </c>
      <c r="F26">
        <v>2.0589751490212</v>
      </c>
      <c r="G26">
        <f t="shared" si="0"/>
        <v>0.88685137097959765</v>
      </c>
      <c r="H26">
        <f t="shared" si="1"/>
        <v>1</v>
      </c>
      <c r="I26">
        <f t="shared" si="2"/>
        <v>1</v>
      </c>
      <c r="J26">
        <f t="shared" si="3"/>
        <v>0</v>
      </c>
      <c r="K26">
        <f t="shared" si="4"/>
        <v>0</v>
      </c>
      <c r="L26">
        <f t="shared" si="5"/>
        <v>0</v>
      </c>
    </row>
    <row r="27" spans="1:21" x14ac:dyDescent="0.3">
      <c r="A27" s="6">
        <v>1</v>
      </c>
      <c r="B27" s="1">
        <v>11.7</v>
      </c>
      <c r="C27" s="1">
        <v>13.9</v>
      </c>
      <c r="D27" s="1">
        <v>10.4</v>
      </c>
      <c r="E27" s="1">
        <v>919.4</v>
      </c>
      <c r="F27">
        <v>1.7184128746572001</v>
      </c>
      <c r="G27">
        <f t="shared" si="0"/>
        <v>0.84792429160622007</v>
      </c>
      <c r="H27">
        <f t="shared" si="1"/>
        <v>1</v>
      </c>
      <c r="I27">
        <f t="shared" si="2"/>
        <v>1</v>
      </c>
      <c r="J27">
        <f t="shared" si="3"/>
        <v>0</v>
      </c>
      <c r="K27">
        <f t="shared" si="4"/>
        <v>0</v>
      </c>
      <c r="L27">
        <f t="shared" si="5"/>
        <v>0</v>
      </c>
    </row>
    <row r="28" spans="1:21" x14ac:dyDescent="0.3">
      <c r="A28" s="6">
        <v>1</v>
      </c>
      <c r="B28" s="1">
        <v>15.4</v>
      </c>
      <c r="C28" s="1">
        <v>17</v>
      </c>
      <c r="D28" s="1">
        <v>1.7</v>
      </c>
      <c r="E28" s="1">
        <v>845.3</v>
      </c>
      <c r="F28">
        <v>0.28533200696139982</v>
      </c>
      <c r="G28">
        <f t="shared" si="0"/>
        <v>0.57085294882589199</v>
      </c>
      <c r="H28">
        <f t="shared" si="1"/>
        <v>1</v>
      </c>
      <c r="I28">
        <f t="shared" si="2"/>
        <v>1</v>
      </c>
      <c r="J28">
        <f t="shared" si="3"/>
        <v>0</v>
      </c>
      <c r="K28">
        <f t="shared" si="4"/>
        <v>0</v>
      </c>
      <c r="L28">
        <f t="shared" si="5"/>
        <v>0</v>
      </c>
      <c r="N28" s="7" t="s">
        <v>27</v>
      </c>
      <c r="O28" s="7">
        <f>O24*0.9*10</f>
        <v>8204.0816326530621</v>
      </c>
    </row>
    <row r="29" spans="1:21" x14ac:dyDescent="0.3">
      <c r="A29" s="6">
        <v>0</v>
      </c>
      <c r="B29" s="1">
        <v>13.9</v>
      </c>
      <c r="C29" s="1">
        <v>13</v>
      </c>
      <c r="D29" s="1">
        <v>12.6</v>
      </c>
      <c r="E29" s="1">
        <v>275.8</v>
      </c>
      <c r="F29">
        <v>1.6300020657204</v>
      </c>
      <c r="G29">
        <f t="shared" si="0"/>
        <v>0.83616992175942839</v>
      </c>
      <c r="H29">
        <f t="shared" si="1"/>
        <v>1</v>
      </c>
      <c r="I29">
        <f t="shared" si="2"/>
        <v>0</v>
      </c>
      <c r="J29">
        <f t="shared" si="3"/>
        <v>0</v>
      </c>
      <c r="K29">
        <f t="shared" si="4"/>
        <v>1</v>
      </c>
      <c r="L29">
        <f t="shared" si="5"/>
        <v>0</v>
      </c>
      <c r="N29" s="7" t="s">
        <v>28</v>
      </c>
      <c r="O29" s="7">
        <f>+O25*0.1*40</f>
        <v>1132.0754716981132</v>
      </c>
    </row>
    <row r="30" spans="1:21" x14ac:dyDescent="0.3">
      <c r="A30" s="6">
        <v>0</v>
      </c>
      <c r="B30" s="1">
        <v>16</v>
      </c>
      <c r="C30" s="1">
        <v>6.6</v>
      </c>
      <c r="D30" s="1">
        <v>9.6999999999999993</v>
      </c>
      <c r="E30" s="1">
        <v>583.29999999999995</v>
      </c>
      <c r="F30">
        <v>0.56814965900539982</v>
      </c>
      <c r="G30">
        <f t="shared" si="0"/>
        <v>0.63833610908956728</v>
      </c>
      <c r="H30">
        <f t="shared" si="1"/>
        <v>1</v>
      </c>
      <c r="I30">
        <f t="shared" si="2"/>
        <v>0</v>
      </c>
      <c r="J30">
        <f t="shared" si="3"/>
        <v>0</v>
      </c>
      <c r="K30">
        <f t="shared" si="4"/>
        <v>1</v>
      </c>
      <c r="L30">
        <f t="shared" si="5"/>
        <v>0</v>
      </c>
      <c r="O30" s="8">
        <f>+O28-O29</f>
        <v>7072.0061609549484</v>
      </c>
    </row>
    <row r="31" spans="1:21" x14ac:dyDescent="0.3">
      <c r="A31" s="6">
        <v>1</v>
      </c>
      <c r="B31" s="1">
        <v>5.0999999999999996</v>
      </c>
      <c r="C31" s="1">
        <v>1</v>
      </c>
      <c r="D31" s="1">
        <v>18.399999999999999</v>
      </c>
      <c r="E31" s="1">
        <v>838</v>
      </c>
      <c r="F31">
        <v>3.0141541172439998</v>
      </c>
      <c r="G31">
        <f t="shared" si="0"/>
        <v>0.95320948200366773</v>
      </c>
      <c r="H31">
        <f t="shared" si="1"/>
        <v>1</v>
      </c>
      <c r="I31">
        <f t="shared" si="2"/>
        <v>1</v>
      </c>
      <c r="J31">
        <f t="shared" si="3"/>
        <v>0</v>
      </c>
      <c r="K31">
        <f t="shared" si="4"/>
        <v>0</v>
      </c>
      <c r="L31">
        <f t="shared" si="5"/>
        <v>0</v>
      </c>
    </row>
    <row r="32" spans="1:21" x14ac:dyDescent="0.3">
      <c r="A32" s="6">
        <v>1</v>
      </c>
      <c r="B32" s="1">
        <v>21.3</v>
      </c>
      <c r="C32" s="1">
        <v>13.1</v>
      </c>
      <c r="D32" s="1">
        <v>17.399999999999999</v>
      </c>
      <c r="E32" s="1">
        <v>878.3</v>
      </c>
      <c r="F32">
        <v>0.9333272842153999</v>
      </c>
      <c r="G32">
        <f t="shared" si="0"/>
        <v>0.71774983149873184</v>
      </c>
      <c r="H32">
        <f t="shared" si="1"/>
        <v>1</v>
      </c>
      <c r="I32">
        <f t="shared" si="2"/>
        <v>1</v>
      </c>
      <c r="J32">
        <f t="shared" si="3"/>
        <v>0</v>
      </c>
      <c r="K32">
        <f t="shared" si="4"/>
        <v>0</v>
      </c>
      <c r="L32">
        <f t="shared" si="5"/>
        <v>0</v>
      </c>
    </row>
    <row r="33" spans="1:12" x14ac:dyDescent="0.3">
      <c r="A33" s="6">
        <v>1</v>
      </c>
      <c r="B33" s="1">
        <v>21.4</v>
      </c>
      <c r="C33" s="1">
        <v>21.5</v>
      </c>
      <c r="D33" s="1">
        <v>8.6</v>
      </c>
      <c r="E33" s="1">
        <v>279.8</v>
      </c>
      <c r="F33">
        <v>0.41727826807240054</v>
      </c>
      <c r="G33">
        <f t="shared" si="0"/>
        <v>0.60283178023278505</v>
      </c>
      <c r="H33">
        <f t="shared" si="1"/>
        <v>1</v>
      </c>
      <c r="I33">
        <f t="shared" si="2"/>
        <v>1</v>
      </c>
      <c r="J33">
        <f t="shared" si="3"/>
        <v>0</v>
      </c>
      <c r="K33">
        <f t="shared" si="4"/>
        <v>0</v>
      </c>
      <c r="L33">
        <f t="shared" si="5"/>
        <v>0</v>
      </c>
    </row>
    <row r="34" spans="1:12" x14ac:dyDescent="0.3">
      <c r="A34" s="6">
        <v>1</v>
      </c>
      <c r="B34" s="1">
        <v>13</v>
      </c>
      <c r="C34" s="1">
        <v>21.5</v>
      </c>
      <c r="D34" s="1">
        <v>16.600000000000001</v>
      </c>
      <c r="E34" s="1">
        <v>639.5</v>
      </c>
      <c r="F34">
        <v>2.6755229299010002</v>
      </c>
      <c r="G34">
        <f t="shared" si="0"/>
        <v>0.93556676439121578</v>
      </c>
      <c r="H34">
        <f t="shared" si="1"/>
        <v>1</v>
      </c>
      <c r="I34">
        <f t="shared" si="2"/>
        <v>1</v>
      </c>
      <c r="J34">
        <f t="shared" si="3"/>
        <v>0</v>
      </c>
      <c r="K34">
        <f t="shared" si="4"/>
        <v>0</v>
      </c>
      <c r="L34">
        <f t="shared" si="5"/>
        <v>0</v>
      </c>
    </row>
    <row r="35" spans="1:12" x14ac:dyDescent="0.3">
      <c r="A35" s="6">
        <v>1</v>
      </c>
      <c r="B35" s="1">
        <v>8.6999999999999993</v>
      </c>
      <c r="C35" s="1">
        <v>15.4</v>
      </c>
      <c r="D35" s="1">
        <v>13.2</v>
      </c>
      <c r="E35" s="1">
        <v>210.4</v>
      </c>
      <c r="F35">
        <v>2.6829612345151999</v>
      </c>
      <c r="G35">
        <f t="shared" si="0"/>
        <v>0.93601370714737431</v>
      </c>
      <c r="H35">
        <f t="shared" si="1"/>
        <v>1</v>
      </c>
      <c r="I35">
        <f t="shared" si="2"/>
        <v>1</v>
      </c>
      <c r="J35">
        <f t="shared" si="3"/>
        <v>0</v>
      </c>
      <c r="K35">
        <f t="shared" si="4"/>
        <v>0</v>
      </c>
      <c r="L35">
        <f t="shared" si="5"/>
        <v>0</v>
      </c>
    </row>
    <row r="36" spans="1:12" x14ac:dyDescent="0.3">
      <c r="A36" s="6">
        <v>1</v>
      </c>
      <c r="B36" s="1">
        <v>15.9</v>
      </c>
      <c r="C36" s="1">
        <v>11</v>
      </c>
      <c r="D36" s="1">
        <v>25.3</v>
      </c>
      <c r="E36" s="1">
        <v>225.8</v>
      </c>
      <c r="F36">
        <v>2.6756033788204001</v>
      </c>
      <c r="G36">
        <f t="shared" si="0"/>
        <v>0.9355716138103628</v>
      </c>
      <c r="H36">
        <f t="shared" si="1"/>
        <v>1</v>
      </c>
      <c r="I36">
        <f t="shared" si="2"/>
        <v>1</v>
      </c>
      <c r="J36">
        <f t="shared" si="3"/>
        <v>0</v>
      </c>
      <c r="K36">
        <f t="shared" si="4"/>
        <v>0</v>
      </c>
      <c r="L36">
        <f t="shared" si="5"/>
        <v>0</v>
      </c>
    </row>
    <row r="37" spans="1:12" x14ac:dyDescent="0.3">
      <c r="A37" s="6">
        <v>0</v>
      </c>
      <c r="B37" s="1">
        <v>29.9</v>
      </c>
      <c r="C37" s="1">
        <v>7.9</v>
      </c>
      <c r="D37" s="1">
        <v>11.1</v>
      </c>
      <c r="E37" s="1">
        <v>211.7</v>
      </c>
      <c r="F37">
        <v>-1.4174139017954004</v>
      </c>
      <c r="G37">
        <f t="shared" si="0"/>
        <v>0.1950673223619083</v>
      </c>
      <c r="H37">
        <f t="shared" si="1"/>
        <v>0</v>
      </c>
      <c r="I37">
        <f t="shared" si="2"/>
        <v>0</v>
      </c>
      <c r="J37">
        <f t="shared" si="3"/>
        <v>1</v>
      </c>
      <c r="K37">
        <f t="shared" si="4"/>
        <v>0</v>
      </c>
      <c r="L37">
        <f t="shared" si="5"/>
        <v>0</v>
      </c>
    </row>
    <row r="38" spans="1:12" x14ac:dyDescent="0.3">
      <c r="A38" s="6">
        <v>1</v>
      </c>
      <c r="B38" s="1">
        <v>10.7</v>
      </c>
      <c r="C38" s="1">
        <v>15.1</v>
      </c>
      <c r="D38" s="1">
        <v>22.3</v>
      </c>
      <c r="E38" s="1">
        <v>903.1</v>
      </c>
      <c r="F38">
        <v>3.3317028495978001</v>
      </c>
      <c r="G38">
        <f t="shared" si="0"/>
        <v>0.96550053534252056</v>
      </c>
      <c r="H38">
        <f t="shared" si="1"/>
        <v>1</v>
      </c>
      <c r="I38">
        <f t="shared" si="2"/>
        <v>1</v>
      </c>
      <c r="J38">
        <f t="shared" si="3"/>
        <v>0</v>
      </c>
      <c r="K38">
        <f t="shared" si="4"/>
        <v>0</v>
      </c>
      <c r="L38">
        <f t="shared" si="5"/>
        <v>0</v>
      </c>
    </row>
    <row r="39" spans="1:12" x14ac:dyDescent="0.3">
      <c r="A39" s="6">
        <v>1</v>
      </c>
      <c r="B39" s="1">
        <v>11.7</v>
      </c>
      <c r="C39" s="1">
        <v>8</v>
      </c>
      <c r="D39" s="1">
        <v>15.6</v>
      </c>
      <c r="E39" s="1">
        <v>566.70000000000005</v>
      </c>
      <c r="F39">
        <v>2.0309106322945998</v>
      </c>
      <c r="G39">
        <f t="shared" si="0"/>
        <v>0.88400448732830772</v>
      </c>
      <c r="H39">
        <f t="shared" si="1"/>
        <v>1</v>
      </c>
      <c r="I39">
        <f t="shared" si="2"/>
        <v>1</v>
      </c>
      <c r="J39">
        <f t="shared" si="3"/>
        <v>0</v>
      </c>
      <c r="K39">
        <f t="shared" si="4"/>
        <v>0</v>
      </c>
      <c r="L39">
        <f t="shared" si="5"/>
        <v>0</v>
      </c>
    </row>
    <row r="40" spans="1:12" x14ac:dyDescent="0.3">
      <c r="A40" s="6">
        <v>0</v>
      </c>
      <c r="B40" s="1">
        <v>23.5</v>
      </c>
      <c r="C40" s="1">
        <v>20.9</v>
      </c>
      <c r="D40" s="1">
        <v>3.7</v>
      </c>
      <c r="E40" s="1">
        <v>208.2</v>
      </c>
      <c r="F40">
        <v>-0.51928598872840048</v>
      </c>
      <c r="G40">
        <f t="shared" si="0"/>
        <v>0.37301920855429305</v>
      </c>
      <c r="H40">
        <f t="shared" si="1"/>
        <v>0</v>
      </c>
      <c r="I40">
        <f t="shared" si="2"/>
        <v>0</v>
      </c>
      <c r="J40">
        <f t="shared" si="3"/>
        <v>1</v>
      </c>
      <c r="K40">
        <f t="shared" si="4"/>
        <v>0</v>
      </c>
      <c r="L40">
        <f t="shared" si="5"/>
        <v>0</v>
      </c>
    </row>
    <row r="41" spans="1:12" x14ac:dyDescent="0.3">
      <c r="A41" s="6">
        <v>1</v>
      </c>
      <c r="B41" s="1">
        <v>11.5</v>
      </c>
      <c r="C41" s="1">
        <v>4</v>
      </c>
      <c r="D41" s="1">
        <v>11.2</v>
      </c>
      <c r="E41" s="1">
        <v>755.2</v>
      </c>
      <c r="F41">
        <v>1.3124234462575999</v>
      </c>
      <c r="G41">
        <f t="shared" si="0"/>
        <v>0.78791840356538212</v>
      </c>
      <c r="H41">
        <f t="shared" si="1"/>
        <v>1</v>
      </c>
      <c r="I41">
        <f t="shared" si="2"/>
        <v>1</v>
      </c>
      <c r="J41">
        <f t="shared" si="3"/>
        <v>0</v>
      </c>
      <c r="K41">
        <f t="shared" si="4"/>
        <v>0</v>
      </c>
      <c r="L41">
        <f t="shared" si="5"/>
        <v>0</v>
      </c>
    </row>
    <row r="42" spans="1:12" x14ac:dyDescent="0.3">
      <c r="A42" s="6">
        <v>1</v>
      </c>
      <c r="B42" s="1">
        <v>8</v>
      </c>
      <c r="C42" s="1">
        <v>16.3</v>
      </c>
      <c r="D42" s="1">
        <v>11.1</v>
      </c>
      <c r="E42" s="1">
        <v>368.1</v>
      </c>
      <c r="F42">
        <v>2.5869128014678</v>
      </c>
      <c r="G42">
        <f t="shared" si="0"/>
        <v>0.93001454567707154</v>
      </c>
      <c r="H42">
        <f t="shared" si="1"/>
        <v>1</v>
      </c>
      <c r="I42">
        <f t="shared" si="2"/>
        <v>1</v>
      </c>
      <c r="J42">
        <f t="shared" si="3"/>
        <v>0</v>
      </c>
      <c r="K42">
        <f t="shared" si="4"/>
        <v>0</v>
      </c>
      <c r="L42">
        <f t="shared" si="5"/>
        <v>0</v>
      </c>
    </row>
    <row r="43" spans="1:12" x14ac:dyDescent="0.3">
      <c r="A43" s="6">
        <v>1</v>
      </c>
      <c r="B43" s="1">
        <v>26.9</v>
      </c>
      <c r="C43" s="1">
        <v>24.2</v>
      </c>
      <c r="D43" s="1">
        <v>7</v>
      </c>
      <c r="E43" s="1">
        <v>500.3</v>
      </c>
      <c r="F43">
        <v>-0.53371330294859964</v>
      </c>
      <c r="G43">
        <f t="shared" si="0"/>
        <v>0.36965123628201435</v>
      </c>
      <c r="H43">
        <f t="shared" si="1"/>
        <v>0</v>
      </c>
      <c r="I43">
        <f t="shared" si="2"/>
        <v>0</v>
      </c>
      <c r="J43">
        <f t="shared" si="3"/>
        <v>0</v>
      </c>
      <c r="K43">
        <f t="shared" si="4"/>
        <v>0</v>
      </c>
      <c r="L43">
        <f t="shared" si="5"/>
        <v>1</v>
      </c>
    </row>
    <row r="44" spans="1:12" x14ac:dyDescent="0.3">
      <c r="A44" s="6">
        <v>1</v>
      </c>
      <c r="B44" s="1">
        <v>13.3</v>
      </c>
      <c r="C44" s="1">
        <v>17.899999999999999</v>
      </c>
      <c r="D44" s="1">
        <v>25.4</v>
      </c>
      <c r="E44" s="1">
        <v>676.4</v>
      </c>
      <c r="F44">
        <v>3.4468766730231994</v>
      </c>
      <c r="G44">
        <f t="shared" si="0"/>
        <v>0.96913785972578159</v>
      </c>
      <c r="H44">
        <f t="shared" si="1"/>
        <v>1</v>
      </c>
      <c r="I44">
        <f t="shared" si="2"/>
        <v>1</v>
      </c>
      <c r="J44">
        <f t="shared" si="3"/>
        <v>0</v>
      </c>
      <c r="K44">
        <f t="shared" si="4"/>
        <v>0</v>
      </c>
      <c r="L44">
        <f t="shared" si="5"/>
        <v>0</v>
      </c>
    </row>
    <row r="45" spans="1:12" x14ac:dyDescent="0.3">
      <c r="A45" s="6">
        <v>0</v>
      </c>
      <c r="B45" s="1">
        <v>22.1</v>
      </c>
      <c r="C45" s="1">
        <v>25</v>
      </c>
      <c r="D45" s="1">
        <v>13.2</v>
      </c>
      <c r="E45" s="1">
        <v>479.2</v>
      </c>
      <c r="F45">
        <v>1.0123397329695993</v>
      </c>
      <c r="G45">
        <f t="shared" si="0"/>
        <v>0.73347778903184946</v>
      </c>
      <c r="H45">
        <f t="shared" si="1"/>
        <v>1</v>
      </c>
      <c r="I45">
        <f t="shared" si="2"/>
        <v>0</v>
      </c>
      <c r="J45">
        <f t="shared" si="3"/>
        <v>0</v>
      </c>
      <c r="K45">
        <f t="shared" si="4"/>
        <v>1</v>
      </c>
      <c r="L45">
        <f t="shared" si="5"/>
        <v>0</v>
      </c>
    </row>
    <row r="46" spans="1:12" x14ac:dyDescent="0.3">
      <c r="A46" s="6">
        <v>1</v>
      </c>
      <c r="B46" s="1">
        <v>10.7</v>
      </c>
      <c r="C46" s="1">
        <v>13.4</v>
      </c>
      <c r="D46" s="1">
        <v>18.399999999999999</v>
      </c>
      <c r="E46" s="1">
        <v>900.4</v>
      </c>
      <c r="F46">
        <v>2.7847039727351999</v>
      </c>
      <c r="G46">
        <f t="shared" si="0"/>
        <v>0.94184363695972162</v>
      </c>
      <c r="H46">
        <f t="shared" si="1"/>
        <v>1</v>
      </c>
      <c r="I46">
        <f t="shared" si="2"/>
        <v>1</v>
      </c>
      <c r="J46">
        <f t="shared" si="3"/>
        <v>0</v>
      </c>
      <c r="K46">
        <f t="shared" si="4"/>
        <v>0</v>
      </c>
      <c r="L46">
        <f t="shared" si="5"/>
        <v>0</v>
      </c>
    </row>
    <row r="47" spans="1:12" x14ac:dyDescent="0.3">
      <c r="A47" s="6">
        <v>1</v>
      </c>
      <c r="B47" s="1">
        <v>10.8</v>
      </c>
      <c r="C47" s="1">
        <v>11.9</v>
      </c>
      <c r="D47" s="1">
        <v>5.6</v>
      </c>
      <c r="E47" s="1">
        <v>325</v>
      </c>
      <c r="F47">
        <v>1.2540687427499999</v>
      </c>
      <c r="G47">
        <f t="shared" si="0"/>
        <v>0.77800338529182012</v>
      </c>
      <c r="H47">
        <f t="shared" si="1"/>
        <v>1</v>
      </c>
      <c r="I47">
        <f t="shared" si="2"/>
        <v>1</v>
      </c>
      <c r="J47">
        <f t="shared" si="3"/>
        <v>0</v>
      </c>
      <c r="K47">
        <f t="shared" si="4"/>
        <v>0</v>
      </c>
      <c r="L47">
        <f t="shared" si="5"/>
        <v>0</v>
      </c>
    </row>
    <row r="48" spans="1:12" x14ac:dyDescent="0.3">
      <c r="A48" s="6">
        <v>0</v>
      </c>
      <c r="B48" s="1">
        <v>17.399999999999999</v>
      </c>
      <c r="C48" s="1">
        <v>2</v>
      </c>
      <c r="D48" s="1">
        <v>5.7</v>
      </c>
      <c r="E48" s="1">
        <v>470.4</v>
      </c>
      <c r="F48">
        <v>-0.36734818600480024</v>
      </c>
      <c r="G48">
        <f t="shared" si="0"/>
        <v>0.40918194838866478</v>
      </c>
      <c r="H48">
        <f t="shared" si="1"/>
        <v>0</v>
      </c>
      <c r="I48">
        <f t="shared" si="2"/>
        <v>0</v>
      </c>
      <c r="J48">
        <f t="shared" si="3"/>
        <v>1</v>
      </c>
      <c r="K48">
        <f t="shared" si="4"/>
        <v>0</v>
      </c>
      <c r="L48">
        <f t="shared" si="5"/>
        <v>0</v>
      </c>
    </row>
    <row r="49" spans="1:12" x14ac:dyDescent="0.3">
      <c r="A49" s="6">
        <v>1</v>
      </c>
      <c r="B49" s="1">
        <v>14.2</v>
      </c>
      <c r="C49" s="1">
        <v>10</v>
      </c>
      <c r="D49" s="1">
        <v>17.600000000000001</v>
      </c>
      <c r="E49" s="1">
        <v>587.4</v>
      </c>
      <c r="F49">
        <v>1.9660947150412005</v>
      </c>
      <c r="G49">
        <f t="shared" si="0"/>
        <v>0.87719102815958172</v>
      </c>
      <c r="H49">
        <f t="shared" si="1"/>
        <v>1</v>
      </c>
      <c r="I49">
        <f t="shared" si="2"/>
        <v>1</v>
      </c>
      <c r="J49">
        <f t="shared" si="3"/>
        <v>0</v>
      </c>
      <c r="K49">
        <f t="shared" si="4"/>
        <v>0</v>
      </c>
      <c r="L49">
        <f t="shared" si="5"/>
        <v>0</v>
      </c>
    </row>
    <row r="50" spans="1:12" x14ac:dyDescent="0.3">
      <c r="A50" s="6">
        <v>0</v>
      </c>
      <c r="B50" s="1">
        <v>23.1</v>
      </c>
      <c r="C50" s="1">
        <v>17.899999999999999</v>
      </c>
      <c r="D50" s="1">
        <v>1.7</v>
      </c>
      <c r="E50" s="1">
        <v>504.4</v>
      </c>
      <c r="F50">
        <v>-0.88159221011280087</v>
      </c>
      <c r="G50">
        <f t="shared" si="0"/>
        <v>0.29284794253852903</v>
      </c>
      <c r="H50">
        <f t="shared" si="1"/>
        <v>0</v>
      </c>
      <c r="I50">
        <f t="shared" si="2"/>
        <v>0</v>
      </c>
      <c r="J50">
        <f t="shared" si="3"/>
        <v>1</v>
      </c>
      <c r="K50">
        <f t="shared" si="4"/>
        <v>0</v>
      </c>
      <c r="L50">
        <f t="shared" si="5"/>
        <v>0</v>
      </c>
    </row>
    <row r="51" spans="1:12" x14ac:dyDescent="0.3">
      <c r="A51" s="6">
        <v>1</v>
      </c>
      <c r="B51" s="1">
        <v>16.7</v>
      </c>
      <c r="C51" s="1">
        <v>26.6</v>
      </c>
      <c r="D51" s="1">
        <v>16</v>
      </c>
      <c r="E51" s="1">
        <v>451.6</v>
      </c>
      <c r="F51">
        <v>2.3055200742407997</v>
      </c>
      <c r="G51">
        <f t="shared" si="0"/>
        <v>0.90933317846404105</v>
      </c>
      <c r="H51">
        <f t="shared" si="1"/>
        <v>1</v>
      </c>
      <c r="I51">
        <f t="shared" si="2"/>
        <v>1</v>
      </c>
      <c r="J51">
        <f t="shared" si="3"/>
        <v>0</v>
      </c>
      <c r="K51">
        <f t="shared" si="4"/>
        <v>0</v>
      </c>
      <c r="L51">
        <f t="shared" si="5"/>
        <v>0</v>
      </c>
    </row>
    <row r="52" spans="1:12" x14ac:dyDescent="0.3">
      <c r="A52" s="6">
        <v>1</v>
      </c>
      <c r="B52" s="1">
        <v>19.899999999999999</v>
      </c>
      <c r="C52" s="1">
        <v>23.4</v>
      </c>
      <c r="D52" s="1">
        <v>10.6</v>
      </c>
      <c r="E52" s="1">
        <v>775.7</v>
      </c>
      <c r="F52">
        <v>0.94988912183660001</v>
      </c>
      <c r="G52">
        <f t="shared" si="0"/>
        <v>0.72109287898184493</v>
      </c>
      <c r="H52">
        <f t="shared" si="1"/>
        <v>1</v>
      </c>
      <c r="I52">
        <f t="shared" si="2"/>
        <v>1</v>
      </c>
      <c r="J52">
        <f t="shared" si="3"/>
        <v>0</v>
      </c>
      <c r="K52">
        <f t="shared" si="4"/>
        <v>0</v>
      </c>
      <c r="L52">
        <f t="shared" si="5"/>
        <v>0</v>
      </c>
    </row>
    <row r="53" spans="1:12" x14ac:dyDescent="0.3">
      <c r="A53" s="6">
        <v>1</v>
      </c>
      <c r="B53" s="1">
        <v>19.5</v>
      </c>
      <c r="C53" s="1">
        <v>17.7</v>
      </c>
      <c r="D53" s="1">
        <v>15.6</v>
      </c>
      <c r="E53" s="1">
        <v>873.1</v>
      </c>
      <c r="F53">
        <v>1.2712117590578003</v>
      </c>
      <c r="G53">
        <f t="shared" si="0"/>
        <v>0.78095011051171592</v>
      </c>
      <c r="H53">
        <f t="shared" si="1"/>
        <v>1</v>
      </c>
      <c r="I53">
        <f t="shared" si="2"/>
        <v>1</v>
      </c>
      <c r="J53">
        <f t="shared" si="3"/>
        <v>0</v>
      </c>
      <c r="K53">
        <f t="shared" si="4"/>
        <v>0</v>
      </c>
      <c r="L53">
        <f t="shared" si="5"/>
        <v>0</v>
      </c>
    </row>
    <row r="54" spans="1:12" x14ac:dyDescent="0.3">
      <c r="A54" s="6">
        <v>1</v>
      </c>
      <c r="B54" s="1">
        <v>4.3</v>
      </c>
      <c r="C54" s="1">
        <v>15</v>
      </c>
      <c r="D54" s="1">
        <v>9.6999999999999993</v>
      </c>
      <c r="E54" s="1">
        <v>313.8</v>
      </c>
      <c r="F54">
        <v>2.9582471325644</v>
      </c>
      <c r="G54">
        <f t="shared" si="0"/>
        <v>0.95065182669437598</v>
      </c>
      <c r="H54">
        <f t="shared" si="1"/>
        <v>1</v>
      </c>
      <c r="I54">
        <f t="shared" si="2"/>
        <v>1</v>
      </c>
      <c r="J54">
        <f t="shared" si="3"/>
        <v>0</v>
      </c>
      <c r="K54">
        <f t="shared" si="4"/>
        <v>0</v>
      </c>
      <c r="L54">
        <f t="shared" si="5"/>
        <v>0</v>
      </c>
    </row>
    <row r="55" spans="1:12" x14ac:dyDescent="0.3">
      <c r="A55" s="6">
        <v>0</v>
      </c>
      <c r="B55" s="1">
        <v>20.100000000000001</v>
      </c>
      <c r="C55" s="1">
        <v>10</v>
      </c>
      <c r="D55" s="1">
        <v>0</v>
      </c>
      <c r="E55" s="1">
        <v>287.89999999999998</v>
      </c>
      <c r="F55">
        <v>-1.0078978349398007</v>
      </c>
      <c r="G55">
        <f t="shared" si="0"/>
        <v>0.26739144931667896</v>
      </c>
      <c r="H55">
        <f t="shared" si="1"/>
        <v>0</v>
      </c>
      <c r="I55">
        <f t="shared" si="2"/>
        <v>0</v>
      </c>
      <c r="J55">
        <f t="shared" si="3"/>
        <v>1</v>
      </c>
      <c r="K55">
        <f t="shared" si="4"/>
        <v>0</v>
      </c>
      <c r="L55">
        <f t="shared" si="5"/>
        <v>0</v>
      </c>
    </row>
    <row r="56" spans="1:12" x14ac:dyDescent="0.3">
      <c r="A56" s="6">
        <v>1</v>
      </c>
      <c r="B56" s="1">
        <v>6.7</v>
      </c>
      <c r="C56" s="1">
        <v>12</v>
      </c>
      <c r="D56" s="1">
        <v>15.6</v>
      </c>
      <c r="E56" s="1">
        <v>711.2</v>
      </c>
      <c r="F56">
        <v>3.0496658213855996</v>
      </c>
      <c r="G56">
        <f t="shared" si="0"/>
        <v>0.9547680968794634</v>
      </c>
      <c r="H56">
        <f t="shared" si="1"/>
        <v>1</v>
      </c>
      <c r="I56">
        <f t="shared" si="2"/>
        <v>1</v>
      </c>
      <c r="J56">
        <f t="shared" si="3"/>
        <v>0</v>
      </c>
      <c r="K56">
        <f t="shared" si="4"/>
        <v>0</v>
      </c>
      <c r="L56">
        <f t="shared" si="5"/>
        <v>0</v>
      </c>
    </row>
    <row r="57" spans="1:12" x14ac:dyDescent="0.3">
      <c r="A57" s="6">
        <v>1</v>
      </c>
      <c r="B57" s="1">
        <v>18.7</v>
      </c>
      <c r="C57" s="1">
        <v>15.3</v>
      </c>
      <c r="D57" s="1">
        <v>8.6</v>
      </c>
      <c r="E57" s="1">
        <v>286.7</v>
      </c>
      <c r="F57">
        <v>0.51205201845460024</v>
      </c>
      <c r="G57">
        <f t="shared" si="0"/>
        <v>0.62528739216209428</v>
      </c>
      <c r="H57">
        <f t="shared" si="1"/>
        <v>1</v>
      </c>
      <c r="I57">
        <f t="shared" si="2"/>
        <v>1</v>
      </c>
      <c r="J57">
        <f t="shared" si="3"/>
        <v>0</v>
      </c>
      <c r="K57">
        <f t="shared" si="4"/>
        <v>0</v>
      </c>
      <c r="L57">
        <f t="shared" si="5"/>
        <v>0</v>
      </c>
    </row>
    <row r="58" spans="1:12" x14ac:dyDescent="0.3">
      <c r="A58" s="6">
        <v>0</v>
      </c>
      <c r="B58" s="1">
        <v>22.5</v>
      </c>
      <c r="C58" s="1">
        <v>12</v>
      </c>
      <c r="D58" s="1">
        <v>1</v>
      </c>
      <c r="E58" s="1">
        <v>169.4</v>
      </c>
      <c r="F58">
        <v>-1.1591155782427998</v>
      </c>
      <c r="G58">
        <f t="shared" si="0"/>
        <v>0.23882802634147951</v>
      </c>
      <c r="H58">
        <f t="shared" si="1"/>
        <v>0</v>
      </c>
      <c r="I58">
        <f t="shared" si="2"/>
        <v>0</v>
      </c>
      <c r="J58">
        <f t="shared" si="3"/>
        <v>1</v>
      </c>
      <c r="K58">
        <f t="shared" si="4"/>
        <v>0</v>
      </c>
      <c r="L58">
        <f t="shared" si="5"/>
        <v>0</v>
      </c>
    </row>
    <row r="59" spans="1:12" x14ac:dyDescent="0.3">
      <c r="A59" s="6">
        <v>0</v>
      </c>
      <c r="B59" s="1">
        <v>26.5</v>
      </c>
      <c r="C59" s="1">
        <v>11</v>
      </c>
      <c r="D59" s="1">
        <v>13.1</v>
      </c>
      <c r="E59" s="1">
        <v>680.2</v>
      </c>
      <c r="F59">
        <v>-0.50733919559240048</v>
      </c>
      <c r="G59">
        <f t="shared" si="0"/>
        <v>0.37581748703885726</v>
      </c>
      <c r="H59">
        <f t="shared" si="1"/>
        <v>0</v>
      </c>
      <c r="I59">
        <f t="shared" si="2"/>
        <v>0</v>
      </c>
      <c r="J59">
        <f t="shared" si="3"/>
        <v>1</v>
      </c>
      <c r="K59">
        <f t="shared" si="4"/>
        <v>0</v>
      </c>
      <c r="L59">
        <f t="shared" si="5"/>
        <v>0</v>
      </c>
    </row>
    <row r="60" spans="1:12" x14ac:dyDescent="0.3">
      <c r="A60" s="6">
        <v>1</v>
      </c>
      <c r="B60" s="1">
        <v>10.3</v>
      </c>
      <c r="C60" s="1">
        <v>14.9</v>
      </c>
      <c r="D60" s="1">
        <v>18</v>
      </c>
      <c r="E60" s="1">
        <v>826.4</v>
      </c>
      <c r="F60">
        <v>2.8933184867232002</v>
      </c>
      <c r="G60">
        <f t="shared" si="0"/>
        <v>0.94751515581707924</v>
      </c>
      <c r="H60">
        <f t="shared" si="1"/>
        <v>1</v>
      </c>
      <c r="I60">
        <f t="shared" si="2"/>
        <v>1</v>
      </c>
      <c r="J60">
        <f t="shared" si="3"/>
        <v>0</v>
      </c>
      <c r="K60">
        <f t="shared" si="4"/>
        <v>0</v>
      </c>
      <c r="L60">
        <f t="shared" si="5"/>
        <v>0</v>
      </c>
    </row>
    <row r="61" spans="1:12" x14ac:dyDescent="0.3">
      <c r="A61" s="6">
        <v>1</v>
      </c>
      <c r="B61" s="1">
        <v>16.2</v>
      </c>
      <c r="C61" s="1">
        <v>22.3</v>
      </c>
      <c r="D61" s="1">
        <v>14.6</v>
      </c>
      <c r="E61" s="1">
        <v>333.9</v>
      </c>
      <c r="F61">
        <v>1.9976819114082003</v>
      </c>
      <c r="G61">
        <f t="shared" si="0"/>
        <v>0.8805534786240754</v>
      </c>
      <c r="H61">
        <f t="shared" si="1"/>
        <v>1</v>
      </c>
      <c r="I61">
        <f t="shared" si="2"/>
        <v>1</v>
      </c>
      <c r="J61">
        <f t="shared" si="3"/>
        <v>0</v>
      </c>
      <c r="K61">
        <f t="shared" si="4"/>
        <v>0</v>
      </c>
      <c r="L61">
        <f t="shared" si="5"/>
        <v>0</v>
      </c>
    </row>
    <row r="62" spans="1:12" x14ac:dyDescent="0.3">
      <c r="A62" s="6">
        <v>1</v>
      </c>
      <c r="B62" s="1">
        <v>21</v>
      </c>
      <c r="C62" s="1">
        <v>11</v>
      </c>
      <c r="D62" s="1">
        <v>20.3</v>
      </c>
      <c r="E62" s="1">
        <v>504.3</v>
      </c>
      <c r="F62">
        <v>1.2394335032034005</v>
      </c>
      <c r="G62">
        <f t="shared" si="0"/>
        <v>0.77546539190921038</v>
      </c>
      <c r="H62">
        <f t="shared" si="1"/>
        <v>1</v>
      </c>
      <c r="I62">
        <f t="shared" si="2"/>
        <v>1</v>
      </c>
      <c r="J62">
        <f t="shared" si="3"/>
        <v>0</v>
      </c>
      <c r="K62">
        <f t="shared" si="4"/>
        <v>0</v>
      </c>
      <c r="L62">
        <f t="shared" si="5"/>
        <v>0</v>
      </c>
    </row>
    <row r="63" spans="1:12" x14ac:dyDescent="0.3">
      <c r="A63" s="6">
        <v>1</v>
      </c>
      <c r="B63" s="1">
        <v>13.5</v>
      </c>
      <c r="C63" s="1">
        <v>20.399999999999999</v>
      </c>
      <c r="D63" s="1">
        <v>22.8</v>
      </c>
      <c r="E63" s="1">
        <v>518.20000000000005</v>
      </c>
      <c r="F63">
        <v>3.2659247540515999</v>
      </c>
      <c r="G63">
        <f t="shared" si="0"/>
        <v>0.96324114898122704</v>
      </c>
      <c r="H63">
        <f t="shared" si="1"/>
        <v>1</v>
      </c>
      <c r="I63">
        <f t="shared" si="2"/>
        <v>1</v>
      </c>
      <c r="J63">
        <f t="shared" si="3"/>
        <v>0</v>
      </c>
      <c r="K63">
        <f t="shared" si="4"/>
        <v>0</v>
      </c>
      <c r="L63">
        <f t="shared" si="5"/>
        <v>0</v>
      </c>
    </row>
    <row r="64" spans="1:12" x14ac:dyDescent="0.3">
      <c r="A64" s="6">
        <v>1</v>
      </c>
      <c r="B64" s="1">
        <v>27.5</v>
      </c>
      <c r="C64" s="1">
        <v>11.6</v>
      </c>
      <c r="D64" s="1">
        <v>10.6</v>
      </c>
      <c r="E64" s="1">
        <v>830</v>
      </c>
      <c r="F64">
        <v>-0.94165918986000019</v>
      </c>
      <c r="G64">
        <f t="shared" si="0"/>
        <v>0.28056531583196137</v>
      </c>
      <c r="H64">
        <f t="shared" si="1"/>
        <v>0</v>
      </c>
      <c r="I64">
        <f t="shared" si="2"/>
        <v>0</v>
      </c>
      <c r="J64">
        <f t="shared" si="3"/>
        <v>0</v>
      </c>
      <c r="K64">
        <f t="shared" si="4"/>
        <v>0</v>
      </c>
      <c r="L64">
        <f t="shared" si="5"/>
        <v>1</v>
      </c>
    </row>
    <row r="65" spans="1:12" x14ac:dyDescent="0.3">
      <c r="A65" s="6">
        <v>1</v>
      </c>
      <c r="B65" s="1">
        <v>8.6</v>
      </c>
      <c r="C65" s="1">
        <v>19.3</v>
      </c>
      <c r="D65" s="1">
        <v>21</v>
      </c>
      <c r="E65" s="1">
        <v>696.3</v>
      </c>
      <c r="F65">
        <v>3.7739508558993999</v>
      </c>
      <c r="G65">
        <f t="shared" si="0"/>
        <v>0.97755421387363994</v>
      </c>
      <c r="H65">
        <f t="shared" si="1"/>
        <v>1</v>
      </c>
      <c r="I65">
        <f t="shared" si="2"/>
        <v>1</v>
      </c>
      <c r="J65">
        <f t="shared" si="3"/>
        <v>0</v>
      </c>
      <c r="K65">
        <f t="shared" si="4"/>
        <v>0</v>
      </c>
      <c r="L65">
        <f t="shared" si="5"/>
        <v>0</v>
      </c>
    </row>
    <row r="66" spans="1:12" x14ac:dyDescent="0.3">
      <c r="A66" s="6">
        <v>1</v>
      </c>
      <c r="B66" s="1">
        <v>20.2</v>
      </c>
      <c r="C66" s="1">
        <v>10</v>
      </c>
      <c r="D66" s="1">
        <v>8.6</v>
      </c>
      <c r="E66" s="1">
        <v>924.3</v>
      </c>
      <c r="F66">
        <v>-8.6750349836599572E-2</v>
      </c>
      <c r="G66">
        <f t="shared" si="0"/>
        <v>0.4783260033639391</v>
      </c>
      <c r="H66">
        <f t="shared" si="1"/>
        <v>1</v>
      </c>
      <c r="I66">
        <f t="shared" si="2"/>
        <v>1</v>
      </c>
      <c r="J66">
        <f t="shared" si="3"/>
        <v>0</v>
      </c>
      <c r="K66">
        <f t="shared" si="4"/>
        <v>0</v>
      </c>
      <c r="L66">
        <f t="shared" si="5"/>
        <v>0</v>
      </c>
    </row>
    <row r="67" spans="1:12" x14ac:dyDescent="0.3">
      <c r="A67" s="6">
        <v>0</v>
      </c>
      <c r="B67" s="1">
        <v>19.2</v>
      </c>
      <c r="C67" s="1">
        <v>5</v>
      </c>
      <c r="D67" s="1">
        <v>-1</v>
      </c>
      <c r="E67" s="1">
        <v>917.9</v>
      </c>
      <c r="F67">
        <v>-1.3159901779998004</v>
      </c>
      <c r="G67">
        <f t="shared" si="0"/>
        <v>0.21148619694909734</v>
      </c>
      <c r="H67">
        <f t="shared" si="1"/>
        <v>0</v>
      </c>
      <c r="I67">
        <f t="shared" si="2"/>
        <v>0</v>
      </c>
      <c r="J67">
        <f t="shared" si="3"/>
        <v>1</v>
      </c>
      <c r="K67">
        <f t="shared" si="4"/>
        <v>0</v>
      </c>
      <c r="L67">
        <f t="shared" si="5"/>
        <v>0</v>
      </c>
    </row>
    <row r="68" spans="1:12" x14ac:dyDescent="0.3">
      <c r="A68" s="6">
        <v>0</v>
      </c>
      <c r="B68" s="1">
        <v>20.8</v>
      </c>
      <c r="C68" s="1">
        <v>13.1</v>
      </c>
      <c r="D68" s="1">
        <v>10.6</v>
      </c>
      <c r="E68" s="1">
        <v>397.1</v>
      </c>
      <c r="F68">
        <v>0.27116185356979949</v>
      </c>
      <c r="G68">
        <f t="shared" si="0"/>
        <v>0.56737811605808108</v>
      </c>
      <c r="H68">
        <f t="shared" si="1"/>
        <v>1</v>
      </c>
      <c r="I68">
        <f t="shared" si="2"/>
        <v>0</v>
      </c>
      <c r="J68">
        <f t="shared" si="3"/>
        <v>0</v>
      </c>
      <c r="K68">
        <f t="shared" si="4"/>
        <v>1</v>
      </c>
      <c r="L68">
        <f t="shared" si="5"/>
        <v>0</v>
      </c>
    </row>
    <row r="69" spans="1:12" x14ac:dyDescent="0.3">
      <c r="A69" s="6">
        <v>1</v>
      </c>
      <c r="B69" s="1">
        <v>9.6</v>
      </c>
      <c r="C69" s="1">
        <v>22.4</v>
      </c>
      <c r="D69" s="1">
        <v>6</v>
      </c>
      <c r="E69" s="1">
        <v>878.2</v>
      </c>
      <c r="F69">
        <v>2.0220044287315999</v>
      </c>
      <c r="G69">
        <f t="shared" si="0"/>
        <v>0.8830881123179366</v>
      </c>
      <c r="H69">
        <f t="shared" si="1"/>
        <v>1</v>
      </c>
      <c r="I69">
        <f t="shared" si="2"/>
        <v>1</v>
      </c>
      <c r="J69">
        <f t="shared" si="3"/>
        <v>0</v>
      </c>
      <c r="K69">
        <f t="shared" si="4"/>
        <v>0</v>
      </c>
      <c r="L69">
        <f t="shared" si="5"/>
        <v>0</v>
      </c>
    </row>
    <row r="70" spans="1:12" x14ac:dyDescent="0.3">
      <c r="A70" s="6">
        <v>1</v>
      </c>
      <c r="B70" s="1">
        <v>7.4</v>
      </c>
      <c r="C70" s="1">
        <v>11</v>
      </c>
      <c r="D70" s="1">
        <v>14.5</v>
      </c>
      <c r="E70" s="1">
        <v>785.7</v>
      </c>
      <c r="F70">
        <v>2.7456231938166002</v>
      </c>
      <c r="G70">
        <f t="shared" si="0"/>
        <v>0.93966568779226445</v>
      </c>
      <c r="H70">
        <f t="shared" si="1"/>
        <v>1</v>
      </c>
      <c r="I70">
        <f t="shared" si="2"/>
        <v>1</v>
      </c>
      <c r="J70">
        <f t="shared" si="3"/>
        <v>0</v>
      </c>
      <c r="K70">
        <f t="shared" si="4"/>
        <v>0</v>
      </c>
      <c r="L70">
        <f t="shared" si="5"/>
        <v>0</v>
      </c>
    </row>
    <row r="71" spans="1:12" x14ac:dyDescent="0.3">
      <c r="A71" s="6">
        <v>1</v>
      </c>
      <c r="B71" s="1">
        <v>11.3</v>
      </c>
      <c r="C71" s="1">
        <v>24.7</v>
      </c>
      <c r="D71" s="1">
        <v>13.6</v>
      </c>
      <c r="E71" s="1">
        <v>430</v>
      </c>
      <c r="F71">
        <v>2.8002302645399997</v>
      </c>
      <c r="G71">
        <f t="shared" si="0"/>
        <v>0.9426882658944894</v>
      </c>
      <c r="H71">
        <f t="shared" si="1"/>
        <v>1</v>
      </c>
      <c r="I71">
        <f t="shared" si="2"/>
        <v>1</v>
      </c>
      <c r="J71">
        <f t="shared" si="3"/>
        <v>0</v>
      </c>
      <c r="K71">
        <f t="shared" si="4"/>
        <v>0</v>
      </c>
      <c r="L71">
        <f t="shared" si="5"/>
        <v>0</v>
      </c>
    </row>
    <row r="72" spans="1:12" x14ac:dyDescent="0.3">
      <c r="A72" s="6">
        <v>1</v>
      </c>
      <c r="B72" s="1">
        <v>12</v>
      </c>
      <c r="C72" s="1">
        <v>16.5</v>
      </c>
      <c r="D72" s="1">
        <v>18</v>
      </c>
      <c r="E72" s="1">
        <v>543.5</v>
      </c>
      <c r="F72">
        <v>2.733438221453</v>
      </c>
      <c r="G72">
        <f t="shared" si="0"/>
        <v>0.93897115974622702</v>
      </c>
      <c r="H72">
        <f t="shared" si="1"/>
        <v>1</v>
      </c>
      <c r="I72">
        <f t="shared" si="2"/>
        <v>1</v>
      </c>
      <c r="J72">
        <f t="shared" si="3"/>
        <v>0</v>
      </c>
      <c r="K72">
        <f t="shared" si="4"/>
        <v>0</v>
      </c>
      <c r="L72">
        <f t="shared" si="5"/>
        <v>0</v>
      </c>
    </row>
    <row r="73" spans="1:12" x14ac:dyDescent="0.3">
      <c r="A73" s="6">
        <v>0</v>
      </c>
      <c r="B73" s="1">
        <v>22.4</v>
      </c>
      <c r="C73" s="1">
        <v>13.9</v>
      </c>
      <c r="D73" s="1">
        <v>7</v>
      </c>
      <c r="E73" s="1">
        <v>389.2</v>
      </c>
      <c r="F73">
        <v>-0.36194958305039959</v>
      </c>
      <c r="G73">
        <f t="shared" si="0"/>
        <v>0.41048770892085357</v>
      </c>
      <c r="H73">
        <f t="shared" si="1"/>
        <v>0</v>
      </c>
      <c r="I73">
        <f t="shared" si="2"/>
        <v>0</v>
      </c>
      <c r="J73">
        <f t="shared" si="3"/>
        <v>1</v>
      </c>
      <c r="K73">
        <f t="shared" si="4"/>
        <v>0</v>
      </c>
      <c r="L73">
        <f t="shared" si="5"/>
        <v>0</v>
      </c>
    </row>
    <row r="74" spans="1:12" x14ac:dyDescent="0.3">
      <c r="A74" s="6">
        <v>0</v>
      </c>
      <c r="B74" s="1">
        <v>16.5</v>
      </c>
      <c r="C74" s="1">
        <v>12.1</v>
      </c>
      <c r="D74" s="1">
        <v>11.5</v>
      </c>
      <c r="E74" s="1">
        <v>759.7</v>
      </c>
      <c r="F74">
        <v>0.98310533462860028</v>
      </c>
      <c r="G74">
        <f t="shared" si="0"/>
        <v>0.72772394787045058</v>
      </c>
      <c r="H74">
        <f t="shared" si="1"/>
        <v>1</v>
      </c>
      <c r="I74">
        <f t="shared" si="2"/>
        <v>0</v>
      </c>
      <c r="J74">
        <f t="shared" si="3"/>
        <v>0</v>
      </c>
      <c r="K74">
        <f t="shared" si="4"/>
        <v>1</v>
      </c>
      <c r="L74">
        <f t="shared" si="5"/>
        <v>0</v>
      </c>
    </row>
    <row r="75" spans="1:12" x14ac:dyDescent="0.3">
      <c r="A75" s="6">
        <v>0</v>
      </c>
      <c r="B75" s="1">
        <v>29.7</v>
      </c>
      <c r="C75" s="1">
        <v>25.9</v>
      </c>
      <c r="D75" s="1">
        <v>19</v>
      </c>
      <c r="E75" s="1">
        <v>211.2</v>
      </c>
      <c r="F75">
        <v>0.52860608078560034</v>
      </c>
      <c r="G75">
        <f t="shared" si="0"/>
        <v>0.62915794380426915</v>
      </c>
      <c r="H75">
        <f t="shared" si="1"/>
        <v>1</v>
      </c>
      <c r="I75">
        <f t="shared" si="2"/>
        <v>0</v>
      </c>
      <c r="J75">
        <f t="shared" si="3"/>
        <v>0</v>
      </c>
      <c r="K75">
        <f t="shared" si="4"/>
        <v>1</v>
      </c>
      <c r="L75">
        <f t="shared" si="5"/>
        <v>0</v>
      </c>
    </row>
    <row r="76" spans="1:12" x14ac:dyDescent="0.3">
      <c r="A76" s="6">
        <v>1</v>
      </c>
      <c r="B76" s="1">
        <v>3</v>
      </c>
      <c r="C76" s="1">
        <v>6</v>
      </c>
      <c r="D76" s="1">
        <v>13.6</v>
      </c>
      <c r="E76" s="1">
        <v>611.5</v>
      </c>
      <c r="F76">
        <v>3.0957961524369999</v>
      </c>
      <c r="G76">
        <f t="shared" si="0"/>
        <v>0.95671900702468582</v>
      </c>
      <c r="H76">
        <f t="shared" si="1"/>
        <v>1</v>
      </c>
      <c r="I76">
        <f t="shared" si="2"/>
        <v>1</v>
      </c>
      <c r="J76">
        <f t="shared" si="3"/>
        <v>0</v>
      </c>
      <c r="K76">
        <f t="shared" si="4"/>
        <v>0</v>
      </c>
      <c r="L76">
        <f t="shared" si="5"/>
        <v>0</v>
      </c>
    </row>
    <row r="77" spans="1:12" x14ac:dyDescent="0.3">
      <c r="A77" s="6">
        <v>1</v>
      </c>
      <c r="B77" s="1">
        <v>8.9</v>
      </c>
      <c r="C77" s="1">
        <v>10.6</v>
      </c>
      <c r="D77" s="1">
        <v>22.8</v>
      </c>
      <c r="E77" s="1">
        <v>825.4</v>
      </c>
      <c r="F77">
        <v>3.4407502630851998</v>
      </c>
      <c r="G77">
        <f t="shared" si="0"/>
        <v>0.96895409324085124</v>
      </c>
      <c r="H77">
        <f t="shared" si="1"/>
        <v>1</v>
      </c>
      <c r="I77">
        <f t="shared" si="2"/>
        <v>1</v>
      </c>
      <c r="J77">
        <f t="shared" si="3"/>
        <v>0</v>
      </c>
      <c r="K77">
        <f t="shared" si="4"/>
        <v>0</v>
      </c>
      <c r="L77">
        <f t="shared" si="5"/>
        <v>0</v>
      </c>
    </row>
    <row r="78" spans="1:12" x14ac:dyDescent="0.3">
      <c r="A78" s="6">
        <v>1</v>
      </c>
      <c r="B78" s="1">
        <v>22.4</v>
      </c>
      <c r="C78" s="1">
        <v>17.399999999999999</v>
      </c>
      <c r="D78" s="1">
        <v>10.6</v>
      </c>
      <c r="E78" s="1">
        <v>344.8</v>
      </c>
      <c r="F78">
        <v>0.25431717894239991</v>
      </c>
      <c r="G78">
        <f t="shared" si="0"/>
        <v>0.56323881895990124</v>
      </c>
      <c r="H78">
        <f t="shared" si="1"/>
        <v>1</v>
      </c>
      <c r="I78">
        <f t="shared" si="2"/>
        <v>1</v>
      </c>
      <c r="J78">
        <f t="shared" si="3"/>
        <v>0</v>
      </c>
      <c r="K78">
        <f t="shared" si="4"/>
        <v>0</v>
      </c>
      <c r="L78">
        <f t="shared" si="5"/>
        <v>0</v>
      </c>
    </row>
    <row r="79" spans="1:12" x14ac:dyDescent="0.3">
      <c r="A79" s="6">
        <v>1</v>
      </c>
      <c r="B79" s="1">
        <v>20.7</v>
      </c>
      <c r="C79" s="1">
        <v>20.100000000000001</v>
      </c>
      <c r="D79" s="1">
        <v>-1</v>
      </c>
      <c r="E79" s="1">
        <v>556.70000000000005</v>
      </c>
      <c r="F79">
        <v>-0.68923317048539978</v>
      </c>
      <c r="G79">
        <f t="shared" si="0"/>
        <v>0.33420367999639611</v>
      </c>
      <c r="H79">
        <f t="shared" si="1"/>
        <v>0</v>
      </c>
      <c r="I79">
        <f t="shared" si="2"/>
        <v>0</v>
      </c>
      <c r="J79">
        <f t="shared" si="3"/>
        <v>0</v>
      </c>
      <c r="K79">
        <f t="shared" si="4"/>
        <v>0</v>
      </c>
      <c r="L79">
        <f t="shared" si="5"/>
        <v>1</v>
      </c>
    </row>
    <row r="80" spans="1:12" x14ac:dyDescent="0.3">
      <c r="A80" s="6">
        <v>1</v>
      </c>
      <c r="B80" s="1">
        <v>24.7</v>
      </c>
      <c r="C80" s="1">
        <v>27.9</v>
      </c>
      <c r="D80" s="1">
        <v>15</v>
      </c>
      <c r="E80" s="1">
        <v>823.8</v>
      </c>
      <c r="F80">
        <v>0.92620688734439938</v>
      </c>
      <c r="G80">
        <f t="shared" si="0"/>
        <v>0.71630511193764479</v>
      </c>
      <c r="H80">
        <f t="shared" si="1"/>
        <v>1</v>
      </c>
      <c r="I80">
        <f t="shared" si="2"/>
        <v>1</v>
      </c>
      <c r="J80">
        <f t="shared" si="3"/>
        <v>0</v>
      </c>
      <c r="K80">
        <f t="shared" si="4"/>
        <v>0</v>
      </c>
      <c r="L80">
        <f t="shared" si="5"/>
        <v>0</v>
      </c>
    </row>
    <row r="81" spans="1:12" x14ac:dyDescent="0.3">
      <c r="A81" s="6">
        <v>1</v>
      </c>
      <c r="B81" s="1">
        <v>13</v>
      </c>
      <c r="C81" s="1">
        <v>17</v>
      </c>
      <c r="D81" s="1">
        <v>19.7</v>
      </c>
      <c r="E81" s="1">
        <v>888</v>
      </c>
      <c r="F81">
        <v>2.7627088391439996</v>
      </c>
      <c r="G81">
        <f t="shared" si="0"/>
        <v>0.94062709731703942</v>
      </c>
      <c r="H81">
        <f t="shared" si="1"/>
        <v>1</v>
      </c>
      <c r="I81">
        <f t="shared" si="2"/>
        <v>1</v>
      </c>
      <c r="J81">
        <f t="shared" si="3"/>
        <v>0</v>
      </c>
      <c r="K81">
        <f t="shared" si="4"/>
        <v>0</v>
      </c>
      <c r="L81">
        <f t="shared" si="5"/>
        <v>0</v>
      </c>
    </row>
    <row r="82" spans="1:12" x14ac:dyDescent="0.3">
      <c r="A82" s="6">
        <v>1</v>
      </c>
      <c r="B82" s="1">
        <v>26.2</v>
      </c>
      <c r="C82" s="1">
        <v>24</v>
      </c>
      <c r="D82" s="1">
        <v>17</v>
      </c>
      <c r="E82" s="1">
        <v>1013.4</v>
      </c>
      <c r="F82">
        <v>0.68097988202919946</v>
      </c>
      <c r="G82">
        <f t="shared" ref="G82:G145" si="6">+EXP(F82)/(1+EXP(F82))</f>
        <v>0.66395736181966269</v>
      </c>
      <c r="H82">
        <f t="shared" ref="H82:H145" si="7">+IF(G82&gt;0.45,1,0)</f>
        <v>1</v>
      </c>
      <c r="I82">
        <f t="shared" ref="I82:I145" si="8">+IF(AND(A82=1,H82=1),1,0)</f>
        <v>1</v>
      </c>
      <c r="J82">
        <f t="shared" ref="J82:J145" si="9">+IF(AND(A82=0,H82=0),1,0)</f>
        <v>0</v>
      </c>
      <c r="K82">
        <f t="shared" ref="K82:K145" si="10">+IF(AND(A82=0,H82=1),1,0)</f>
        <v>0</v>
      </c>
      <c r="L82">
        <f t="shared" ref="L82:L145" si="11">+IF(AND(A82=1,H82=0),1,0)</f>
        <v>0</v>
      </c>
    </row>
    <row r="83" spans="1:12" x14ac:dyDescent="0.3">
      <c r="A83" s="6">
        <v>0</v>
      </c>
      <c r="B83" s="1">
        <v>24.9</v>
      </c>
      <c r="C83" s="1">
        <v>14.1</v>
      </c>
      <c r="D83" s="1">
        <v>14.4</v>
      </c>
      <c r="E83" s="1">
        <v>769.4</v>
      </c>
      <c r="F83">
        <v>6.6198356157200822E-2</v>
      </c>
      <c r="G83">
        <f t="shared" si="6"/>
        <v>0.51654354802166946</v>
      </c>
      <c r="H83">
        <f t="shared" si="7"/>
        <v>1</v>
      </c>
      <c r="I83">
        <f t="shared" si="8"/>
        <v>0</v>
      </c>
      <c r="J83">
        <f t="shared" si="9"/>
        <v>0</v>
      </c>
      <c r="K83">
        <f t="shared" si="10"/>
        <v>1</v>
      </c>
      <c r="L83">
        <f t="shared" si="11"/>
        <v>0</v>
      </c>
    </row>
    <row r="84" spans="1:12" x14ac:dyDescent="0.3">
      <c r="A84" s="6">
        <v>0</v>
      </c>
      <c r="B84" s="1">
        <v>24.4</v>
      </c>
      <c r="C84" s="1">
        <v>22</v>
      </c>
      <c r="D84" s="1">
        <v>27.7</v>
      </c>
      <c r="E84" s="1">
        <v>778.4</v>
      </c>
      <c r="F84">
        <v>2.1290599380991999</v>
      </c>
      <c r="G84">
        <f t="shared" si="6"/>
        <v>0.89369573204126362</v>
      </c>
      <c r="H84">
        <f t="shared" si="7"/>
        <v>1</v>
      </c>
      <c r="I84">
        <f t="shared" si="8"/>
        <v>0</v>
      </c>
      <c r="J84">
        <f t="shared" si="9"/>
        <v>0</v>
      </c>
      <c r="K84">
        <f t="shared" si="10"/>
        <v>1</v>
      </c>
      <c r="L84">
        <f t="shared" si="11"/>
        <v>0</v>
      </c>
    </row>
    <row r="85" spans="1:12" x14ac:dyDescent="0.3">
      <c r="A85" s="6">
        <v>1</v>
      </c>
      <c r="B85" s="1">
        <v>9.8000000000000007</v>
      </c>
      <c r="C85" s="1">
        <v>17</v>
      </c>
      <c r="D85" s="1">
        <v>20.399999999999999</v>
      </c>
      <c r="E85" s="1">
        <v>666.6</v>
      </c>
      <c r="F85">
        <v>3.3851321158107996</v>
      </c>
      <c r="G85">
        <f t="shared" si="6"/>
        <v>0.96723663215700562</v>
      </c>
      <c r="H85">
        <f t="shared" si="7"/>
        <v>1</v>
      </c>
      <c r="I85">
        <f t="shared" si="8"/>
        <v>1</v>
      </c>
      <c r="J85">
        <f t="shared" si="9"/>
        <v>0</v>
      </c>
      <c r="K85">
        <f t="shared" si="10"/>
        <v>0</v>
      </c>
      <c r="L85">
        <f t="shared" si="11"/>
        <v>0</v>
      </c>
    </row>
    <row r="86" spans="1:12" x14ac:dyDescent="0.3">
      <c r="A86" s="6">
        <v>1</v>
      </c>
      <c r="B86" s="1">
        <v>7.8</v>
      </c>
      <c r="C86" s="1">
        <v>10</v>
      </c>
      <c r="D86" s="1">
        <v>16.399999999999999</v>
      </c>
      <c r="E86" s="1">
        <v>497.7</v>
      </c>
      <c r="F86">
        <v>2.8743132954726001</v>
      </c>
      <c r="G86">
        <f t="shared" si="6"/>
        <v>0.94656194566724783</v>
      </c>
      <c r="H86">
        <f t="shared" si="7"/>
        <v>1</v>
      </c>
      <c r="I86">
        <f t="shared" si="8"/>
        <v>1</v>
      </c>
      <c r="J86">
        <f t="shared" si="9"/>
        <v>0</v>
      </c>
      <c r="K86">
        <f t="shared" si="10"/>
        <v>0</v>
      </c>
      <c r="L86">
        <f t="shared" si="11"/>
        <v>0</v>
      </c>
    </row>
    <row r="87" spans="1:12" x14ac:dyDescent="0.3">
      <c r="A87" s="6">
        <v>0</v>
      </c>
      <c r="B87" s="1">
        <v>23.6</v>
      </c>
      <c r="C87" s="1">
        <v>17.899999999999999</v>
      </c>
      <c r="D87" s="1">
        <v>10.6</v>
      </c>
      <c r="E87" s="1">
        <v>695.1</v>
      </c>
      <c r="F87">
        <v>5.2982632093799165E-2</v>
      </c>
      <c r="G87">
        <f t="shared" si="6"/>
        <v>0.51324256033700411</v>
      </c>
      <c r="H87">
        <f t="shared" si="7"/>
        <v>1</v>
      </c>
      <c r="I87">
        <f t="shared" si="8"/>
        <v>0</v>
      </c>
      <c r="J87">
        <f t="shared" si="9"/>
        <v>0</v>
      </c>
      <c r="K87">
        <f t="shared" si="10"/>
        <v>1</v>
      </c>
      <c r="L87">
        <f t="shared" si="11"/>
        <v>0</v>
      </c>
    </row>
    <row r="88" spans="1:12" x14ac:dyDescent="0.3">
      <c r="A88" s="6">
        <v>1</v>
      </c>
      <c r="B88" s="1">
        <v>8.5</v>
      </c>
      <c r="C88" s="1">
        <v>27.1</v>
      </c>
      <c r="D88" s="1">
        <v>20.8</v>
      </c>
      <c r="E88" s="1">
        <v>236.9</v>
      </c>
      <c r="F88">
        <v>4.2431000759222002</v>
      </c>
      <c r="G88">
        <f t="shared" si="6"/>
        <v>0.98584037822135062</v>
      </c>
      <c r="H88">
        <f t="shared" si="7"/>
        <v>1</v>
      </c>
      <c r="I88">
        <f t="shared" si="8"/>
        <v>1</v>
      </c>
      <c r="J88">
        <f t="shared" si="9"/>
        <v>0</v>
      </c>
      <c r="K88">
        <f t="shared" si="10"/>
        <v>0</v>
      </c>
      <c r="L88">
        <f t="shared" si="11"/>
        <v>0</v>
      </c>
    </row>
    <row r="89" spans="1:12" x14ac:dyDescent="0.3">
      <c r="A89" s="6">
        <v>1</v>
      </c>
      <c r="B89" s="1">
        <v>22.2</v>
      </c>
      <c r="C89" s="1">
        <v>10</v>
      </c>
      <c r="D89" s="1">
        <v>23.4</v>
      </c>
      <c r="E89" s="1">
        <v>645</v>
      </c>
      <c r="F89">
        <v>1.33588503251</v>
      </c>
      <c r="G89">
        <f t="shared" si="6"/>
        <v>0.79181242204483704</v>
      </c>
      <c r="H89">
        <f t="shared" si="7"/>
        <v>1</v>
      </c>
      <c r="I89">
        <f t="shared" si="8"/>
        <v>1</v>
      </c>
      <c r="J89">
        <f t="shared" si="9"/>
        <v>0</v>
      </c>
      <c r="K89">
        <f t="shared" si="10"/>
        <v>0</v>
      </c>
      <c r="L89">
        <f t="shared" si="11"/>
        <v>0</v>
      </c>
    </row>
    <row r="90" spans="1:12" x14ac:dyDescent="0.3">
      <c r="A90" s="6">
        <v>1</v>
      </c>
      <c r="B90" s="1">
        <v>4.5</v>
      </c>
      <c r="C90" s="1">
        <v>13.9</v>
      </c>
      <c r="D90" s="1">
        <v>18.3</v>
      </c>
      <c r="E90" s="1">
        <v>565.29999999999995</v>
      </c>
      <c r="F90">
        <v>3.8398943197214002</v>
      </c>
      <c r="G90">
        <f t="shared" si="6"/>
        <v>0.9789564760026328</v>
      </c>
      <c r="H90">
        <f t="shared" si="7"/>
        <v>1</v>
      </c>
      <c r="I90">
        <f t="shared" si="8"/>
        <v>1</v>
      </c>
      <c r="J90">
        <f t="shared" si="9"/>
        <v>0</v>
      </c>
      <c r="K90">
        <f t="shared" si="10"/>
        <v>0</v>
      </c>
      <c r="L90">
        <f t="shared" si="11"/>
        <v>0</v>
      </c>
    </row>
    <row r="91" spans="1:12" x14ac:dyDescent="0.3">
      <c r="A91" s="6">
        <v>0</v>
      </c>
      <c r="B91" s="1">
        <v>11.8</v>
      </c>
      <c r="C91" s="1">
        <v>13.1</v>
      </c>
      <c r="D91" s="1">
        <v>2</v>
      </c>
      <c r="E91" s="1">
        <v>508.7</v>
      </c>
      <c r="F91">
        <v>0.72177851029059981</v>
      </c>
      <c r="G91">
        <f t="shared" si="6"/>
        <v>0.67299853686576427</v>
      </c>
      <c r="H91">
        <f t="shared" si="7"/>
        <v>1</v>
      </c>
      <c r="I91">
        <f t="shared" si="8"/>
        <v>0</v>
      </c>
      <c r="J91">
        <f t="shared" si="9"/>
        <v>0</v>
      </c>
      <c r="K91">
        <f t="shared" si="10"/>
        <v>1</v>
      </c>
      <c r="L91">
        <f t="shared" si="11"/>
        <v>0</v>
      </c>
    </row>
    <row r="92" spans="1:12" x14ac:dyDescent="0.3">
      <c r="A92" s="6">
        <v>1</v>
      </c>
      <c r="B92" s="1">
        <v>3.8</v>
      </c>
      <c r="C92" s="1">
        <v>13.9</v>
      </c>
      <c r="D92" s="1">
        <v>15.2</v>
      </c>
      <c r="E92" s="1">
        <v>772.8</v>
      </c>
      <c r="F92">
        <v>3.5729981896064</v>
      </c>
      <c r="G92">
        <f t="shared" si="6"/>
        <v>0.97269493242419536</v>
      </c>
      <c r="H92">
        <f t="shared" si="7"/>
        <v>1</v>
      </c>
      <c r="I92">
        <f t="shared" si="8"/>
        <v>1</v>
      </c>
      <c r="J92">
        <f t="shared" si="9"/>
        <v>0</v>
      </c>
      <c r="K92">
        <f t="shared" si="10"/>
        <v>0</v>
      </c>
      <c r="L92">
        <f t="shared" si="11"/>
        <v>0</v>
      </c>
    </row>
    <row r="93" spans="1:12" x14ac:dyDescent="0.3">
      <c r="A93" s="6">
        <v>1</v>
      </c>
      <c r="B93" s="1">
        <v>21</v>
      </c>
      <c r="C93" s="1">
        <v>14</v>
      </c>
      <c r="D93" s="1">
        <v>8.6</v>
      </c>
      <c r="E93" s="1">
        <v>882.4</v>
      </c>
      <c r="F93">
        <v>8.6665282512001784E-3</v>
      </c>
      <c r="G93">
        <f t="shared" si="6"/>
        <v>0.5021666185018232</v>
      </c>
      <c r="H93">
        <f t="shared" si="7"/>
        <v>1</v>
      </c>
      <c r="I93">
        <f t="shared" si="8"/>
        <v>1</v>
      </c>
      <c r="J93">
        <f t="shared" si="9"/>
        <v>0</v>
      </c>
      <c r="K93">
        <f t="shared" si="10"/>
        <v>0</v>
      </c>
      <c r="L93">
        <f t="shared" si="11"/>
        <v>0</v>
      </c>
    </row>
    <row r="94" spans="1:12" x14ac:dyDescent="0.3">
      <c r="A94" s="6">
        <v>1</v>
      </c>
      <c r="B94" s="1">
        <v>17.2</v>
      </c>
      <c r="C94" s="1">
        <v>10.9</v>
      </c>
      <c r="D94" s="1">
        <v>16</v>
      </c>
      <c r="E94" s="1">
        <v>361.7</v>
      </c>
      <c r="F94">
        <v>1.3649405179045999</v>
      </c>
      <c r="G94">
        <f t="shared" si="6"/>
        <v>0.79656148811104721</v>
      </c>
      <c r="H94">
        <f t="shared" si="7"/>
        <v>1</v>
      </c>
      <c r="I94">
        <f t="shared" si="8"/>
        <v>1</v>
      </c>
      <c r="J94">
        <f t="shared" si="9"/>
        <v>0</v>
      </c>
      <c r="K94">
        <f t="shared" si="10"/>
        <v>0</v>
      </c>
      <c r="L94">
        <f t="shared" si="11"/>
        <v>0</v>
      </c>
    </row>
    <row r="95" spans="1:12" x14ac:dyDescent="0.3">
      <c r="A95" s="6">
        <v>0</v>
      </c>
      <c r="B95" s="1">
        <v>16.399999999999999</v>
      </c>
      <c r="C95" s="1">
        <v>6</v>
      </c>
      <c r="D95" s="1">
        <v>12.6</v>
      </c>
      <c r="E95" s="1">
        <v>810.3</v>
      </c>
      <c r="F95">
        <v>0.78492098063140026</v>
      </c>
      <c r="G95">
        <f t="shared" si="6"/>
        <v>0.68673972759435919</v>
      </c>
      <c r="H95">
        <f t="shared" si="7"/>
        <v>1</v>
      </c>
      <c r="I95">
        <f t="shared" si="8"/>
        <v>0</v>
      </c>
      <c r="J95">
        <f t="shared" si="9"/>
        <v>0</v>
      </c>
      <c r="K95">
        <f t="shared" si="10"/>
        <v>1</v>
      </c>
      <c r="L95">
        <f t="shared" si="11"/>
        <v>0</v>
      </c>
    </row>
    <row r="96" spans="1:12" x14ac:dyDescent="0.3">
      <c r="A96" s="6">
        <v>1</v>
      </c>
      <c r="B96" s="1">
        <v>8.6999999999999993</v>
      </c>
      <c r="C96" s="1">
        <v>10.9</v>
      </c>
      <c r="D96" s="1">
        <v>9.1</v>
      </c>
      <c r="E96" s="1">
        <v>361.4</v>
      </c>
      <c r="F96">
        <v>1.9428835800532001</v>
      </c>
      <c r="G96">
        <f t="shared" si="6"/>
        <v>0.87466859313371537</v>
      </c>
      <c r="H96">
        <f t="shared" si="7"/>
        <v>1</v>
      </c>
      <c r="I96">
        <f t="shared" si="8"/>
        <v>1</v>
      </c>
      <c r="J96">
        <f t="shared" si="9"/>
        <v>0</v>
      </c>
      <c r="K96">
        <f t="shared" si="10"/>
        <v>0</v>
      </c>
      <c r="L96">
        <f t="shared" si="11"/>
        <v>0</v>
      </c>
    </row>
    <row r="97" spans="1:12" x14ac:dyDescent="0.3">
      <c r="A97" s="6">
        <v>1</v>
      </c>
      <c r="B97" s="1">
        <v>9.1</v>
      </c>
      <c r="C97" s="1">
        <v>18</v>
      </c>
      <c r="D97" s="1">
        <v>16.399999999999999</v>
      </c>
      <c r="E97" s="1">
        <v>491.3</v>
      </c>
      <c r="F97">
        <v>3.1062935583094</v>
      </c>
      <c r="G97">
        <f t="shared" si="6"/>
        <v>0.95715160297295176</v>
      </c>
      <c r="H97">
        <f t="shared" si="7"/>
        <v>1</v>
      </c>
      <c r="I97">
        <f t="shared" si="8"/>
        <v>1</v>
      </c>
      <c r="J97">
        <f t="shared" si="9"/>
        <v>0</v>
      </c>
      <c r="K97">
        <f t="shared" si="10"/>
        <v>0</v>
      </c>
      <c r="L97">
        <f t="shared" si="11"/>
        <v>0</v>
      </c>
    </row>
    <row r="98" spans="1:12" x14ac:dyDescent="0.3">
      <c r="A98" s="6">
        <v>1</v>
      </c>
      <c r="B98" s="1">
        <v>13.5</v>
      </c>
      <c r="C98" s="1">
        <v>7.9</v>
      </c>
      <c r="D98" s="1">
        <v>24.8</v>
      </c>
      <c r="E98" s="1">
        <v>875.3</v>
      </c>
      <c r="F98">
        <v>2.7722835985014003</v>
      </c>
      <c r="G98">
        <f t="shared" si="6"/>
        <v>0.94115957565036445</v>
      </c>
      <c r="H98">
        <f t="shared" si="7"/>
        <v>1</v>
      </c>
      <c r="I98">
        <f t="shared" si="8"/>
        <v>1</v>
      </c>
      <c r="J98">
        <f t="shared" si="9"/>
        <v>0</v>
      </c>
      <c r="K98">
        <f t="shared" si="10"/>
        <v>0</v>
      </c>
      <c r="L98">
        <f t="shared" si="11"/>
        <v>0</v>
      </c>
    </row>
    <row r="99" spans="1:12" x14ac:dyDescent="0.3">
      <c r="A99" s="6">
        <v>0</v>
      </c>
      <c r="B99" s="1">
        <v>17.8</v>
      </c>
      <c r="C99" s="1">
        <v>17.399999999999999</v>
      </c>
      <c r="D99" s="1">
        <v>21.6</v>
      </c>
      <c r="E99" s="1">
        <v>805.3</v>
      </c>
      <c r="F99">
        <v>2.2345191468413996</v>
      </c>
      <c r="G99">
        <f t="shared" si="6"/>
        <v>0.90330679774377487</v>
      </c>
      <c r="H99">
        <f t="shared" si="7"/>
        <v>1</v>
      </c>
      <c r="I99">
        <f t="shared" si="8"/>
        <v>0</v>
      </c>
      <c r="J99">
        <f t="shared" si="9"/>
        <v>0</v>
      </c>
      <c r="K99">
        <f t="shared" si="10"/>
        <v>1</v>
      </c>
      <c r="L99">
        <f t="shared" si="11"/>
        <v>0</v>
      </c>
    </row>
    <row r="100" spans="1:12" x14ac:dyDescent="0.3">
      <c r="A100" s="6">
        <v>0</v>
      </c>
      <c r="B100" s="1">
        <v>15.8</v>
      </c>
      <c r="C100" s="1">
        <v>15.1</v>
      </c>
      <c r="D100" s="1">
        <v>5</v>
      </c>
      <c r="E100" s="1">
        <v>822.4</v>
      </c>
      <c r="F100">
        <v>0.50108999957119948</v>
      </c>
      <c r="G100">
        <f t="shared" si="6"/>
        <v>0.62271545093500624</v>
      </c>
      <c r="H100">
        <f t="shared" si="7"/>
        <v>1</v>
      </c>
      <c r="I100">
        <f t="shared" si="8"/>
        <v>0</v>
      </c>
      <c r="J100">
        <f t="shared" si="9"/>
        <v>0</v>
      </c>
      <c r="K100">
        <f t="shared" si="10"/>
        <v>1</v>
      </c>
      <c r="L100">
        <f t="shared" si="11"/>
        <v>0</v>
      </c>
    </row>
    <row r="101" spans="1:12" x14ac:dyDescent="0.3">
      <c r="A101" s="6">
        <v>1</v>
      </c>
      <c r="B101" s="1">
        <v>13.2</v>
      </c>
      <c r="C101" s="1">
        <v>7</v>
      </c>
      <c r="D101" s="1">
        <v>12.5</v>
      </c>
      <c r="E101" s="1">
        <v>892.9</v>
      </c>
      <c r="F101">
        <v>1.3400008880502003</v>
      </c>
      <c r="G101">
        <f t="shared" si="6"/>
        <v>0.79249008747985705</v>
      </c>
      <c r="H101">
        <f t="shared" si="7"/>
        <v>1</v>
      </c>
      <c r="I101">
        <f t="shared" si="8"/>
        <v>1</v>
      </c>
      <c r="J101">
        <f t="shared" si="9"/>
        <v>0</v>
      </c>
      <c r="K101">
        <f t="shared" si="10"/>
        <v>0</v>
      </c>
      <c r="L101">
        <f t="shared" si="11"/>
        <v>0</v>
      </c>
    </row>
    <row r="102" spans="1:12" x14ac:dyDescent="0.3">
      <c r="A102" s="6">
        <v>1</v>
      </c>
      <c r="B102" s="1">
        <v>23.8</v>
      </c>
      <c r="C102" s="1">
        <v>18</v>
      </c>
      <c r="D102" s="1">
        <v>5</v>
      </c>
      <c r="E102" s="1">
        <v>340.9</v>
      </c>
      <c r="F102">
        <v>-0.59021622352580039</v>
      </c>
      <c r="G102">
        <f t="shared" si="6"/>
        <v>0.35658524412649534</v>
      </c>
      <c r="H102">
        <f t="shared" si="7"/>
        <v>0</v>
      </c>
      <c r="I102">
        <f t="shared" si="8"/>
        <v>0</v>
      </c>
      <c r="J102">
        <f t="shared" si="9"/>
        <v>0</v>
      </c>
      <c r="K102">
        <f t="shared" si="10"/>
        <v>0</v>
      </c>
      <c r="L102">
        <f t="shared" si="11"/>
        <v>1</v>
      </c>
    </row>
    <row r="103" spans="1:12" x14ac:dyDescent="0.3">
      <c r="A103" s="6">
        <v>1</v>
      </c>
      <c r="B103" s="1">
        <v>7.7</v>
      </c>
      <c r="C103" s="1">
        <v>2</v>
      </c>
      <c r="D103" s="1">
        <v>15.6</v>
      </c>
      <c r="E103" s="1">
        <v>489.8</v>
      </c>
      <c r="F103">
        <v>2.3559541490523999</v>
      </c>
      <c r="G103">
        <f t="shared" si="6"/>
        <v>0.91340633287772499</v>
      </c>
      <c r="H103">
        <f t="shared" si="7"/>
        <v>1</v>
      </c>
      <c r="I103">
        <f t="shared" si="8"/>
        <v>1</v>
      </c>
      <c r="J103">
        <f t="shared" si="9"/>
        <v>0</v>
      </c>
      <c r="K103">
        <f t="shared" si="10"/>
        <v>0</v>
      </c>
      <c r="L103">
        <f t="shared" si="11"/>
        <v>0</v>
      </c>
    </row>
    <row r="104" spans="1:12" x14ac:dyDescent="0.3">
      <c r="A104" s="6">
        <v>1</v>
      </c>
      <c r="B104" s="1">
        <v>6.8</v>
      </c>
      <c r="C104" s="1">
        <v>11.9</v>
      </c>
      <c r="D104" s="1">
        <v>16</v>
      </c>
      <c r="E104" s="1">
        <v>281.39999999999998</v>
      </c>
      <c r="F104">
        <v>3.1163333670132003</v>
      </c>
      <c r="G104">
        <f t="shared" si="6"/>
        <v>0.95756147510393719</v>
      </c>
      <c r="H104">
        <f t="shared" si="7"/>
        <v>1</v>
      </c>
      <c r="I104">
        <f t="shared" si="8"/>
        <v>1</v>
      </c>
      <c r="J104">
        <f t="shared" si="9"/>
        <v>0</v>
      </c>
      <c r="K104">
        <f t="shared" si="10"/>
        <v>0</v>
      </c>
      <c r="L104">
        <f t="shared" si="11"/>
        <v>0</v>
      </c>
    </row>
    <row r="105" spans="1:12" x14ac:dyDescent="0.3">
      <c r="A105" s="6">
        <v>1</v>
      </c>
      <c r="B105" s="1">
        <v>11.1</v>
      </c>
      <c r="C105" s="1">
        <v>21.3</v>
      </c>
      <c r="D105" s="1">
        <v>15.4</v>
      </c>
      <c r="E105" s="1">
        <v>344.8</v>
      </c>
      <c r="F105">
        <v>2.8621908843424002</v>
      </c>
      <c r="G105">
        <f t="shared" si="6"/>
        <v>0.94594543479604509</v>
      </c>
      <c r="H105">
        <f t="shared" si="7"/>
        <v>1</v>
      </c>
      <c r="I105">
        <f t="shared" si="8"/>
        <v>1</v>
      </c>
      <c r="J105">
        <f t="shared" si="9"/>
        <v>0</v>
      </c>
      <c r="K105">
        <f t="shared" si="10"/>
        <v>0</v>
      </c>
      <c r="L105">
        <f t="shared" si="11"/>
        <v>0</v>
      </c>
    </row>
    <row r="106" spans="1:12" x14ac:dyDescent="0.3">
      <c r="A106" s="6">
        <v>0</v>
      </c>
      <c r="B106" s="1">
        <v>11.7</v>
      </c>
      <c r="C106" s="1">
        <v>3</v>
      </c>
      <c r="D106" s="1">
        <v>7</v>
      </c>
      <c r="E106" s="1">
        <v>296.2</v>
      </c>
      <c r="F106">
        <v>0.78133027361560003</v>
      </c>
      <c r="G106">
        <f t="shared" si="6"/>
        <v>0.68596674751711417</v>
      </c>
      <c r="H106">
        <f t="shared" si="7"/>
        <v>1</v>
      </c>
      <c r="I106">
        <f t="shared" si="8"/>
        <v>0</v>
      </c>
      <c r="J106">
        <f t="shared" si="9"/>
        <v>0</v>
      </c>
      <c r="K106">
        <f t="shared" si="10"/>
        <v>1</v>
      </c>
      <c r="L106">
        <f t="shared" si="11"/>
        <v>0</v>
      </c>
    </row>
    <row r="107" spans="1:12" x14ac:dyDescent="0.3">
      <c r="A107" s="6">
        <v>1</v>
      </c>
      <c r="B107" s="1">
        <v>14.9</v>
      </c>
      <c r="C107" s="1">
        <v>8</v>
      </c>
      <c r="D107" s="1">
        <v>12</v>
      </c>
      <c r="E107" s="1">
        <v>941.7</v>
      </c>
      <c r="F107">
        <v>1.0564622585445997</v>
      </c>
      <c r="G107">
        <f t="shared" si="6"/>
        <v>0.7420138980666231</v>
      </c>
      <c r="H107">
        <f t="shared" si="7"/>
        <v>1</v>
      </c>
      <c r="I107">
        <f t="shared" si="8"/>
        <v>1</v>
      </c>
      <c r="J107">
        <f t="shared" si="9"/>
        <v>0</v>
      </c>
      <c r="K107">
        <f t="shared" si="10"/>
        <v>0</v>
      </c>
      <c r="L107">
        <f t="shared" si="11"/>
        <v>0</v>
      </c>
    </row>
    <row r="108" spans="1:12" x14ac:dyDescent="0.3">
      <c r="A108" s="6">
        <v>1</v>
      </c>
      <c r="B108" s="1">
        <v>12.6</v>
      </c>
      <c r="C108" s="1">
        <v>14.1</v>
      </c>
      <c r="D108" s="1">
        <v>12.6</v>
      </c>
      <c r="E108" s="1">
        <v>278.10000000000002</v>
      </c>
      <c r="F108">
        <v>1.9016382238478</v>
      </c>
      <c r="G108">
        <f t="shared" si="6"/>
        <v>0.87007682790866969</v>
      </c>
      <c r="H108">
        <f t="shared" si="7"/>
        <v>1</v>
      </c>
      <c r="I108">
        <f t="shared" si="8"/>
        <v>1</v>
      </c>
      <c r="J108">
        <f t="shared" si="9"/>
        <v>0</v>
      </c>
      <c r="K108">
        <f t="shared" si="10"/>
        <v>0</v>
      </c>
      <c r="L108">
        <f t="shared" si="11"/>
        <v>0</v>
      </c>
    </row>
    <row r="109" spans="1:12" x14ac:dyDescent="0.3">
      <c r="A109" s="6">
        <v>1</v>
      </c>
      <c r="B109" s="1">
        <v>19.899999999999999</v>
      </c>
      <c r="C109" s="1">
        <v>10.9</v>
      </c>
      <c r="D109" s="1">
        <v>2.7</v>
      </c>
      <c r="E109" s="1">
        <v>422.7</v>
      </c>
      <c r="F109">
        <v>-0.6250255689773998</v>
      </c>
      <c r="G109">
        <f t="shared" si="6"/>
        <v>0.34863932885374577</v>
      </c>
      <c r="H109">
        <f t="shared" si="7"/>
        <v>0</v>
      </c>
      <c r="I109">
        <f t="shared" si="8"/>
        <v>0</v>
      </c>
      <c r="J109">
        <f t="shared" si="9"/>
        <v>0</v>
      </c>
      <c r="K109">
        <f t="shared" si="10"/>
        <v>0</v>
      </c>
      <c r="L109">
        <f t="shared" si="11"/>
        <v>1</v>
      </c>
    </row>
    <row r="110" spans="1:12" x14ac:dyDescent="0.3">
      <c r="A110" s="6">
        <v>1</v>
      </c>
      <c r="B110" s="1">
        <v>5.2</v>
      </c>
      <c r="C110" s="1">
        <v>20</v>
      </c>
      <c r="D110" s="1">
        <v>21.2</v>
      </c>
      <c r="E110" s="1">
        <v>314.3</v>
      </c>
      <c r="F110">
        <v>4.4251124749834005</v>
      </c>
      <c r="G110">
        <f t="shared" si="6"/>
        <v>0.98816878891083226</v>
      </c>
      <c r="H110">
        <f t="shared" si="7"/>
        <v>1</v>
      </c>
      <c r="I110">
        <f t="shared" si="8"/>
        <v>1</v>
      </c>
      <c r="J110">
        <f t="shared" si="9"/>
        <v>0</v>
      </c>
      <c r="K110">
        <f t="shared" si="10"/>
        <v>0</v>
      </c>
      <c r="L110">
        <f t="shared" si="11"/>
        <v>0</v>
      </c>
    </row>
    <row r="111" spans="1:12" x14ac:dyDescent="0.3">
      <c r="A111" s="6">
        <v>1</v>
      </c>
      <c r="B111" s="1">
        <v>6.4</v>
      </c>
      <c r="C111" s="1">
        <v>5</v>
      </c>
      <c r="D111" s="1">
        <v>17.2</v>
      </c>
      <c r="E111" s="1">
        <v>667.4</v>
      </c>
      <c r="F111">
        <v>2.9015011560812001</v>
      </c>
      <c r="G111">
        <f t="shared" si="6"/>
        <v>0.94792059455503819</v>
      </c>
      <c r="H111">
        <f t="shared" si="7"/>
        <v>1</v>
      </c>
      <c r="I111">
        <f t="shared" si="8"/>
        <v>1</v>
      </c>
      <c r="J111">
        <f t="shared" si="9"/>
        <v>0</v>
      </c>
      <c r="K111">
        <f t="shared" si="10"/>
        <v>0</v>
      </c>
      <c r="L111">
        <f t="shared" si="11"/>
        <v>0</v>
      </c>
    </row>
    <row r="112" spans="1:12" x14ac:dyDescent="0.3">
      <c r="A112" s="6">
        <v>1</v>
      </c>
      <c r="B112" s="1">
        <v>20.399999999999999</v>
      </c>
      <c r="C112" s="1">
        <v>4</v>
      </c>
      <c r="D112" s="1">
        <v>7</v>
      </c>
      <c r="E112" s="1">
        <v>989</v>
      </c>
      <c r="F112">
        <v>-0.64327245321800008</v>
      </c>
      <c r="G112">
        <f t="shared" si="6"/>
        <v>0.34450717196500458</v>
      </c>
      <c r="H112">
        <f t="shared" si="7"/>
        <v>0</v>
      </c>
      <c r="I112">
        <f t="shared" si="8"/>
        <v>0</v>
      </c>
      <c r="J112">
        <f t="shared" si="9"/>
        <v>0</v>
      </c>
      <c r="K112">
        <f t="shared" si="10"/>
        <v>0</v>
      </c>
      <c r="L112">
        <f t="shared" si="11"/>
        <v>1</v>
      </c>
    </row>
    <row r="113" spans="1:12" x14ac:dyDescent="0.3">
      <c r="A113" s="6">
        <v>1</v>
      </c>
      <c r="B113" s="1">
        <v>15.3</v>
      </c>
      <c r="C113" s="1">
        <v>8</v>
      </c>
      <c r="D113" s="1">
        <v>18</v>
      </c>
      <c r="E113" s="1">
        <v>480.3</v>
      </c>
      <c r="F113">
        <v>1.7338712310914002</v>
      </c>
      <c r="G113">
        <f t="shared" si="6"/>
        <v>0.84990692363101294</v>
      </c>
      <c r="H113">
        <f t="shared" si="7"/>
        <v>1</v>
      </c>
      <c r="I113">
        <f t="shared" si="8"/>
        <v>1</v>
      </c>
      <c r="J113">
        <f t="shared" si="9"/>
        <v>0</v>
      </c>
      <c r="K113">
        <f t="shared" si="10"/>
        <v>0</v>
      </c>
      <c r="L113">
        <f t="shared" si="11"/>
        <v>0</v>
      </c>
    </row>
    <row r="114" spans="1:12" x14ac:dyDescent="0.3">
      <c r="A114" s="6">
        <v>1</v>
      </c>
      <c r="B114" s="1">
        <v>23.8</v>
      </c>
      <c r="C114" s="1">
        <v>18</v>
      </c>
      <c r="D114" s="1">
        <v>5</v>
      </c>
      <c r="E114" s="1">
        <v>340.9</v>
      </c>
      <c r="F114">
        <v>-0.59021622352580039</v>
      </c>
      <c r="G114">
        <f t="shared" si="6"/>
        <v>0.35658524412649534</v>
      </c>
      <c r="H114">
        <f t="shared" si="7"/>
        <v>0</v>
      </c>
      <c r="I114">
        <f t="shared" si="8"/>
        <v>0</v>
      </c>
      <c r="J114">
        <f t="shared" si="9"/>
        <v>0</v>
      </c>
      <c r="K114">
        <f t="shared" si="10"/>
        <v>0</v>
      </c>
      <c r="L114">
        <f t="shared" si="11"/>
        <v>1</v>
      </c>
    </row>
    <row r="115" spans="1:12" x14ac:dyDescent="0.3">
      <c r="A115" s="6">
        <v>0</v>
      </c>
      <c r="B115" s="1">
        <v>12.2</v>
      </c>
      <c r="C115" s="1">
        <v>17.399999999999999</v>
      </c>
      <c r="D115" s="1">
        <v>17.399999999999999</v>
      </c>
      <c r="E115" s="1">
        <v>702</v>
      </c>
      <c r="F115">
        <v>2.6655412746760003</v>
      </c>
      <c r="G115">
        <f t="shared" si="6"/>
        <v>0.93496243188082917</v>
      </c>
      <c r="H115">
        <f t="shared" si="7"/>
        <v>1</v>
      </c>
      <c r="I115">
        <f t="shared" si="8"/>
        <v>0</v>
      </c>
      <c r="J115">
        <f t="shared" si="9"/>
        <v>0</v>
      </c>
      <c r="K115">
        <f t="shared" si="10"/>
        <v>1</v>
      </c>
      <c r="L115">
        <f t="shared" si="11"/>
        <v>0</v>
      </c>
    </row>
    <row r="116" spans="1:12" x14ac:dyDescent="0.3">
      <c r="A116" s="6">
        <v>0</v>
      </c>
      <c r="B116" s="1">
        <v>10.7</v>
      </c>
      <c r="C116" s="1">
        <v>11.9</v>
      </c>
      <c r="D116" s="1">
        <v>10.6</v>
      </c>
      <c r="E116" s="1">
        <v>548.4</v>
      </c>
      <c r="F116">
        <v>1.8295970717592001</v>
      </c>
      <c r="G116">
        <f t="shared" si="6"/>
        <v>0.86171371961243337</v>
      </c>
      <c r="H116">
        <f t="shared" si="7"/>
        <v>1</v>
      </c>
      <c r="I116">
        <f t="shared" si="8"/>
        <v>0</v>
      </c>
      <c r="J116">
        <f t="shared" si="9"/>
        <v>0</v>
      </c>
      <c r="K116">
        <f t="shared" si="10"/>
        <v>1</v>
      </c>
      <c r="L116">
        <f t="shared" si="11"/>
        <v>0</v>
      </c>
    </row>
    <row r="117" spans="1:12" x14ac:dyDescent="0.3">
      <c r="A117" s="6">
        <v>0</v>
      </c>
      <c r="B117" s="1">
        <v>9.5</v>
      </c>
      <c r="C117" s="1">
        <v>-1</v>
      </c>
      <c r="D117" s="1">
        <v>2.7</v>
      </c>
      <c r="E117" s="1">
        <v>268.39999999999998</v>
      </c>
      <c r="F117">
        <v>0.42023813171919988</v>
      </c>
      <c r="G117">
        <f t="shared" si="6"/>
        <v>0.603540231289177</v>
      </c>
      <c r="H117">
        <f t="shared" si="7"/>
        <v>1</v>
      </c>
      <c r="I117">
        <f t="shared" si="8"/>
        <v>0</v>
      </c>
      <c r="J117">
        <f t="shared" si="9"/>
        <v>0</v>
      </c>
      <c r="K117">
        <f t="shared" si="10"/>
        <v>1</v>
      </c>
      <c r="L117">
        <f t="shared" si="11"/>
        <v>0</v>
      </c>
    </row>
    <row r="118" spans="1:12" x14ac:dyDescent="0.3">
      <c r="A118" s="6">
        <v>1</v>
      </c>
      <c r="B118" s="1">
        <v>8.9</v>
      </c>
      <c r="C118" s="1">
        <v>23.7</v>
      </c>
      <c r="D118" s="1">
        <v>18.8</v>
      </c>
      <c r="E118" s="1">
        <v>268.3</v>
      </c>
      <c r="F118">
        <v>3.7546495286354</v>
      </c>
      <c r="G118">
        <f t="shared" si="6"/>
        <v>0.97712677808576631</v>
      </c>
      <c r="H118">
        <f t="shared" si="7"/>
        <v>1</v>
      </c>
      <c r="I118">
        <f t="shared" si="8"/>
        <v>1</v>
      </c>
      <c r="J118">
        <f t="shared" si="9"/>
        <v>0</v>
      </c>
      <c r="K118">
        <f t="shared" si="10"/>
        <v>0</v>
      </c>
      <c r="L118">
        <f t="shared" si="11"/>
        <v>0</v>
      </c>
    </row>
    <row r="119" spans="1:12" x14ac:dyDescent="0.3">
      <c r="A119" s="6">
        <v>1</v>
      </c>
      <c r="B119" s="1">
        <v>12</v>
      </c>
      <c r="C119" s="1">
        <v>8</v>
      </c>
      <c r="D119" s="1">
        <v>23.4</v>
      </c>
      <c r="E119" s="1">
        <v>414</v>
      </c>
      <c r="F119">
        <v>2.9036222769319999</v>
      </c>
      <c r="G119">
        <f t="shared" si="6"/>
        <v>0.94802520879454721</v>
      </c>
      <c r="H119">
        <f t="shared" si="7"/>
        <v>1</v>
      </c>
      <c r="I119">
        <f t="shared" si="8"/>
        <v>1</v>
      </c>
      <c r="J119">
        <f t="shared" si="9"/>
        <v>0</v>
      </c>
      <c r="K119">
        <f t="shared" si="10"/>
        <v>0</v>
      </c>
      <c r="L119">
        <f t="shared" si="11"/>
        <v>0</v>
      </c>
    </row>
    <row r="120" spans="1:12" x14ac:dyDescent="0.3">
      <c r="A120" s="6">
        <v>1</v>
      </c>
      <c r="B120" s="1">
        <v>29.6</v>
      </c>
      <c r="C120" s="1">
        <v>16.7</v>
      </c>
      <c r="D120" s="1">
        <v>25.9</v>
      </c>
      <c r="E120" s="1">
        <v>484.9</v>
      </c>
      <c r="F120">
        <v>0.81129611134619939</v>
      </c>
      <c r="G120">
        <f t="shared" si="6"/>
        <v>0.69238562898069411</v>
      </c>
      <c r="H120">
        <f t="shared" si="7"/>
        <v>1</v>
      </c>
      <c r="I120">
        <f t="shared" si="8"/>
        <v>1</v>
      </c>
      <c r="J120">
        <f t="shared" si="9"/>
        <v>0</v>
      </c>
      <c r="K120">
        <f t="shared" si="10"/>
        <v>0</v>
      </c>
      <c r="L120">
        <f t="shared" si="11"/>
        <v>0</v>
      </c>
    </row>
    <row r="121" spans="1:12" x14ac:dyDescent="0.3">
      <c r="A121" s="6">
        <v>1</v>
      </c>
      <c r="B121" s="1">
        <v>9.9</v>
      </c>
      <c r="C121" s="1">
        <v>9</v>
      </c>
      <c r="D121" s="1">
        <v>21.4</v>
      </c>
      <c r="E121" s="1">
        <v>405.5</v>
      </c>
      <c r="F121">
        <v>3.0682101148089997</v>
      </c>
      <c r="G121">
        <f t="shared" si="6"/>
        <v>0.9555622303625777</v>
      </c>
      <c r="H121">
        <f t="shared" si="7"/>
        <v>1</v>
      </c>
      <c r="I121">
        <f t="shared" si="8"/>
        <v>1</v>
      </c>
      <c r="J121">
        <f t="shared" si="9"/>
        <v>0</v>
      </c>
      <c r="K121">
        <f t="shared" si="10"/>
        <v>0</v>
      </c>
      <c r="L121">
        <f t="shared" si="11"/>
        <v>0</v>
      </c>
    </row>
    <row r="122" spans="1:12" x14ac:dyDescent="0.3">
      <c r="A122" s="6">
        <v>1</v>
      </c>
      <c r="B122" s="1">
        <v>22</v>
      </c>
      <c r="C122" s="1">
        <v>23.2</v>
      </c>
      <c r="D122" s="1">
        <v>11.2</v>
      </c>
      <c r="E122" s="1">
        <v>819.7</v>
      </c>
      <c r="F122">
        <v>0.66336884250859995</v>
      </c>
      <c r="G122">
        <f t="shared" si="6"/>
        <v>0.66001674567211521</v>
      </c>
      <c r="H122">
        <f t="shared" si="7"/>
        <v>1</v>
      </c>
      <c r="I122">
        <f t="shared" si="8"/>
        <v>1</v>
      </c>
      <c r="J122">
        <f t="shared" si="9"/>
        <v>0</v>
      </c>
      <c r="K122">
        <f t="shared" si="10"/>
        <v>0</v>
      </c>
      <c r="L122">
        <f t="shared" si="11"/>
        <v>0</v>
      </c>
    </row>
    <row r="123" spans="1:12" x14ac:dyDescent="0.3">
      <c r="A123" s="6">
        <v>1</v>
      </c>
      <c r="B123" s="1">
        <v>22.6</v>
      </c>
      <c r="C123" s="1">
        <v>7</v>
      </c>
      <c r="D123" s="1">
        <v>16.2</v>
      </c>
      <c r="E123" s="1">
        <v>318.89999999999998</v>
      </c>
      <c r="F123">
        <v>0.30010140203819935</v>
      </c>
      <c r="G123">
        <f t="shared" si="6"/>
        <v>0.57446730519557976</v>
      </c>
      <c r="H123">
        <f t="shared" si="7"/>
        <v>1</v>
      </c>
      <c r="I123">
        <f t="shared" si="8"/>
        <v>1</v>
      </c>
      <c r="J123">
        <f t="shared" si="9"/>
        <v>0</v>
      </c>
      <c r="K123">
        <f t="shared" si="10"/>
        <v>0</v>
      </c>
      <c r="L123">
        <f t="shared" si="11"/>
        <v>0</v>
      </c>
    </row>
    <row r="124" spans="1:12" x14ac:dyDescent="0.3">
      <c r="A124" s="6">
        <v>1</v>
      </c>
      <c r="B124" s="1">
        <v>8.6</v>
      </c>
      <c r="C124" s="1">
        <v>7.9</v>
      </c>
      <c r="D124" s="1">
        <v>23.8</v>
      </c>
      <c r="E124" s="1">
        <v>1012.8</v>
      </c>
      <c r="F124">
        <v>3.4380754527263999</v>
      </c>
      <c r="G124">
        <f t="shared" si="6"/>
        <v>0.96887352842983621</v>
      </c>
      <c r="H124">
        <f t="shared" si="7"/>
        <v>1</v>
      </c>
      <c r="I124">
        <f t="shared" si="8"/>
        <v>1</v>
      </c>
      <c r="J124">
        <f t="shared" si="9"/>
        <v>0</v>
      </c>
      <c r="K124">
        <f t="shared" si="10"/>
        <v>0</v>
      </c>
      <c r="L124">
        <f t="shared" si="11"/>
        <v>0</v>
      </c>
    </row>
    <row r="125" spans="1:12" x14ac:dyDescent="0.3">
      <c r="A125" s="6">
        <v>0</v>
      </c>
      <c r="B125" s="1">
        <v>21.2</v>
      </c>
      <c r="C125" s="1">
        <v>5</v>
      </c>
      <c r="D125" s="1">
        <v>2</v>
      </c>
      <c r="E125" s="1">
        <v>553.29999999999995</v>
      </c>
      <c r="F125">
        <v>-1.2564172887346006</v>
      </c>
      <c r="G125">
        <f t="shared" si="6"/>
        <v>0.22159125250922959</v>
      </c>
      <c r="H125">
        <f t="shared" si="7"/>
        <v>0</v>
      </c>
      <c r="I125">
        <f t="shared" si="8"/>
        <v>0</v>
      </c>
      <c r="J125">
        <f t="shared" si="9"/>
        <v>1</v>
      </c>
      <c r="K125">
        <f t="shared" si="10"/>
        <v>0</v>
      </c>
      <c r="L125">
        <f t="shared" si="11"/>
        <v>0</v>
      </c>
    </row>
    <row r="126" spans="1:12" x14ac:dyDescent="0.3">
      <c r="A126" s="6">
        <v>1</v>
      </c>
      <c r="B126" s="1">
        <v>10.3</v>
      </c>
      <c r="C126" s="1">
        <v>7</v>
      </c>
      <c r="D126" s="1">
        <v>11.4</v>
      </c>
      <c r="E126" s="1">
        <v>213.5</v>
      </c>
      <c r="F126">
        <v>1.7492247539129999</v>
      </c>
      <c r="G126">
        <f t="shared" si="6"/>
        <v>0.85185499409804621</v>
      </c>
      <c r="H126">
        <f t="shared" si="7"/>
        <v>1</v>
      </c>
      <c r="I126">
        <f t="shared" si="8"/>
        <v>1</v>
      </c>
      <c r="J126">
        <f t="shared" si="9"/>
        <v>0</v>
      </c>
      <c r="K126">
        <f t="shared" si="10"/>
        <v>0</v>
      </c>
      <c r="L126">
        <f t="shared" si="11"/>
        <v>0</v>
      </c>
    </row>
    <row r="127" spans="1:12" x14ac:dyDescent="0.3">
      <c r="A127" s="6">
        <v>1</v>
      </c>
      <c r="B127" s="1">
        <v>21.6</v>
      </c>
      <c r="C127" s="1">
        <v>2</v>
      </c>
      <c r="D127" s="1">
        <v>11.4</v>
      </c>
      <c r="E127" s="1">
        <v>474.5</v>
      </c>
      <c r="F127">
        <v>-0.3870953383689999</v>
      </c>
      <c r="G127">
        <f t="shared" si="6"/>
        <v>0.40441673397504413</v>
      </c>
      <c r="H127">
        <f t="shared" si="7"/>
        <v>0</v>
      </c>
      <c r="I127">
        <f t="shared" si="8"/>
        <v>0</v>
      </c>
      <c r="J127">
        <f t="shared" si="9"/>
        <v>0</v>
      </c>
      <c r="K127">
        <f t="shared" si="10"/>
        <v>0</v>
      </c>
      <c r="L127">
        <f t="shared" si="11"/>
        <v>1</v>
      </c>
    </row>
    <row r="128" spans="1:12" x14ac:dyDescent="0.3">
      <c r="A128" s="6">
        <v>1</v>
      </c>
      <c r="B128" s="1">
        <v>7.3</v>
      </c>
      <c r="C128" s="1">
        <v>18.899999999999999</v>
      </c>
      <c r="D128" s="1">
        <v>18.2</v>
      </c>
      <c r="E128" s="1">
        <v>933.9</v>
      </c>
      <c r="F128">
        <v>3.6142632228081997</v>
      </c>
      <c r="G128">
        <f t="shared" si="6"/>
        <v>0.97376979261257535</v>
      </c>
      <c r="H128">
        <f t="shared" si="7"/>
        <v>1</v>
      </c>
      <c r="I128">
        <f t="shared" si="8"/>
        <v>1</v>
      </c>
      <c r="J128">
        <f t="shared" si="9"/>
        <v>0</v>
      </c>
      <c r="K128">
        <f t="shared" si="10"/>
        <v>0</v>
      </c>
      <c r="L128">
        <f t="shared" si="11"/>
        <v>0</v>
      </c>
    </row>
    <row r="129" spans="1:12" x14ac:dyDescent="0.3">
      <c r="A129" s="6">
        <v>0</v>
      </c>
      <c r="B129" s="1">
        <v>11.2</v>
      </c>
      <c r="C129" s="1">
        <v>17.100000000000001</v>
      </c>
      <c r="D129" s="1">
        <v>12.1</v>
      </c>
      <c r="E129" s="1">
        <v>508.5</v>
      </c>
      <c r="F129">
        <v>2.2142055387230002</v>
      </c>
      <c r="G129">
        <f t="shared" si="6"/>
        <v>0.90151793962014481</v>
      </c>
      <c r="H129">
        <f t="shared" si="7"/>
        <v>1</v>
      </c>
      <c r="I129">
        <f t="shared" si="8"/>
        <v>0</v>
      </c>
      <c r="J129">
        <f t="shared" si="9"/>
        <v>0</v>
      </c>
      <c r="K129">
        <f t="shared" si="10"/>
        <v>1</v>
      </c>
      <c r="L129">
        <f t="shared" si="11"/>
        <v>0</v>
      </c>
    </row>
    <row r="130" spans="1:12" x14ac:dyDescent="0.3">
      <c r="A130" s="6">
        <v>1</v>
      </c>
      <c r="B130" s="1">
        <v>23</v>
      </c>
      <c r="C130" s="1">
        <v>16.5</v>
      </c>
      <c r="D130" s="1">
        <v>11.6</v>
      </c>
      <c r="E130" s="1">
        <v>693.9</v>
      </c>
      <c r="F130">
        <v>0.18930055828819969</v>
      </c>
      <c r="G130">
        <f t="shared" si="6"/>
        <v>0.5471843206506164</v>
      </c>
      <c r="H130">
        <f t="shared" si="7"/>
        <v>1</v>
      </c>
      <c r="I130">
        <f t="shared" si="8"/>
        <v>1</v>
      </c>
      <c r="J130">
        <f t="shared" si="9"/>
        <v>0</v>
      </c>
      <c r="K130">
        <f t="shared" si="10"/>
        <v>0</v>
      </c>
      <c r="L130">
        <f t="shared" si="11"/>
        <v>0</v>
      </c>
    </row>
    <row r="131" spans="1:12" x14ac:dyDescent="0.3">
      <c r="A131" s="6">
        <v>0</v>
      </c>
      <c r="B131" s="1">
        <v>25.5</v>
      </c>
      <c r="C131" s="1">
        <v>2</v>
      </c>
      <c r="D131" s="1">
        <v>12.6</v>
      </c>
      <c r="E131" s="1">
        <v>318.60000000000002</v>
      </c>
      <c r="F131">
        <v>-0.86551523681320086</v>
      </c>
      <c r="G131">
        <f t="shared" si="6"/>
        <v>0.29618834403965727</v>
      </c>
      <c r="H131">
        <f t="shared" si="7"/>
        <v>0</v>
      </c>
      <c r="I131">
        <f t="shared" si="8"/>
        <v>0</v>
      </c>
      <c r="J131">
        <f t="shared" si="9"/>
        <v>1</v>
      </c>
      <c r="K131">
        <f t="shared" si="10"/>
        <v>0</v>
      </c>
      <c r="L131">
        <f t="shared" si="11"/>
        <v>0</v>
      </c>
    </row>
    <row r="132" spans="1:12" x14ac:dyDescent="0.3">
      <c r="A132" s="6">
        <v>1</v>
      </c>
      <c r="B132" s="1">
        <v>24.1</v>
      </c>
      <c r="C132" s="1">
        <v>18.899999999999999</v>
      </c>
      <c r="D132" s="1">
        <v>18.600000000000001</v>
      </c>
      <c r="E132" s="1">
        <v>198.4</v>
      </c>
      <c r="F132">
        <v>1.0053400964591996</v>
      </c>
      <c r="G132">
        <f t="shared" si="6"/>
        <v>0.73210720894775938</v>
      </c>
      <c r="H132">
        <f t="shared" si="7"/>
        <v>1</v>
      </c>
      <c r="I132">
        <f t="shared" si="8"/>
        <v>1</v>
      </c>
      <c r="J132">
        <f t="shared" si="9"/>
        <v>0</v>
      </c>
      <c r="K132">
        <f t="shared" si="10"/>
        <v>0</v>
      </c>
      <c r="L132">
        <f t="shared" si="11"/>
        <v>0</v>
      </c>
    </row>
    <row r="133" spans="1:12" x14ac:dyDescent="0.3">
      <c r="A133" s="6">
        <v>1</v>
      </c>
      <c r="B133" s="1">
        <v>9.8000000000000007</v>
      </c>
      <c r="C133" s="1">
        <v>17</v>
      </c>
      <c r="D133" s="1">
        <v>20.399999999999999</v>
      </c>
      <c r="E133" s="1">
        <v>666.6</v>
      </c>
      <c r="F133">
        <v>3.3851321158107996</v>
      </c>
      <c r="G133">
        <f t="shared" si="6"/>
        <v>0.96723663215700562</v>
      </c>
      <c r="H133">
        <f t="shared" si="7"/>
        <v>1</v>
      </c>
      <c r="I133">
        <f t="shared" si="8"/>
        <v>1</v>
      </c>
      <c r="J133">
        <f t="shared" si="9"/>
        <v>0</v>
      </c>
      <c r="K133">
        <f t="shared" si="10"/>
        <v>0</v>
      </c>
      <c r="L133">
        <f t="shared" si="11"/>
        <v>0</v>
      </c>
    </row>
    <row r="134" spans="1:12" x14ac:dyDescent="0.3">
      <c r="A134" s="6">
        <v>1</v>
      </c>
      <c r="B134" s="1">
        <v>26.2</v>
      </c>
      <c r="C134" s="1">
        <v>10</v>
      </c>
      <c r="D134" s="1">
        <v>8.6999999999999993</v>
      </c>
      <c r="E134" s="1">
        <v>653.79999999999995</v>
      </c>
      <c r="F134">
        <v>-1.0227261615156009</v>
      </c>
      <c r="G134">
        <f t="shared" si="6"/>
        <v>0.26449671758810617</v>
      </c>
      <c r="H134">
        <f t="shared" si="7"/>
        <v>0</v>
      </c>
      <c r="I134">
        <f t="shared" si="8"/>
        <v>0</v>
      </c>
      <c r="J134">
        <f t="shared" si="9"/>
        <v>0</v>
      </c>
      <c r="K134">
        <f t="shared" si="10"/>
        <v>0</v>
      </c>
      <c r="L134">
        <f t="shared" si="11"/>
        <v>1</v>
      </c>
    </row>
    <row r="135" spans="1:12" x14ac:dyDescent="0.3">
      <c r="A135" s="6">
        <v>1</v>
      </c>
      <c r="B135" s="1">
        <v>21.1</v>
      </c>
      <c r="C135" s="1">
        <v>12.7</v>
      </c>
      <c r="D135" s="1">
        <v>19.899999999999999</v>
      </c>
      <c r="E135" s="1">
        <v>527.9</v>
      </c>
      <c r="F135">
        <v>1.2684169543801991</v>
      </c>
      <c r="G135">
        <f t="shared" si="6"/>
        <v>0.78047163617405424</v>
      </c>
      <c r="H135">
        <f t="shared" si="7"/>
        <v>1</v>
      </c>
      <c r="I135">
        <f t="shared" si="8"/>
        <v>1</v>
      </c>
      <c r="J135">
        <f t="shared" si="9"/>
        <v>0</v>
      </c>
      <c r="K135">
        <f t="shared" si="10"/>
        <v>0</v>
      </c>
      <c r="L135">
        <f t="shared" si="11"/>
        <v>0</v>
      </c>
    </row>
    <row r="136" spans="1:12" x14ac:dyDescent="0.3">
      <c r="A136" s="6">
        <v>1</v>
      </c>
      <c r="B136" s="1">
        <v>7.8</v>
      </c>
      <c r="C136" s="1">
        <v>10</v>
      </c>
      <c r="D136" s="1">
        <v>16.399999999999999</v>
      </c>
      <c r="E136" s="1">
        <v>497.7</v>
      </c>
      <c r="F136">
        <v>2.8743132954726001</v>
      </c>
      <c r="G136">
        <f t="shared" si="6"/>
        <v>0.94656194566724783</v>
      </c>
      <c r="H136">
        <f t="shared" si="7"/>
        <v>1</v>
      </c>
      <c r="I136">
        <f t="shared" si="8"/>
        <v>1</v>
      </c>
      <c r="J136">
        <f t="shared" si="9"/>
        <v>0</v>
      </c>
      <c r="K136">
        <f t="shared" si="10"/>
        <v>0</v>
      </c>
      <c r="L136">
        <f t="shared" si="11"/>
        <v>0</v>
      </c>
    </row>
    <row r="137" spans="1:12" x14ac:dyDescent="0.3">
      <c r="A137" s="6">
        <v>0</v>
      </c>
      <c r="B137" s="1">
        <v>28.7</v>
      </c>
      <c r="C137" s="1">
        <v>12.6</v>
      </c>
      <c r="D137" s="1">
        <v>10.5</v>
      </c>
      <c r="E137" s="1">
        <v>523.20000000000005</v>
      </c>
      <c r="F137">
        <v>-1.0628418855584001</v>
      </c>
      <c r="G137">
        <f t="shared" si="6"/>
        <v>0.25676674134884891</v>
      </c>
      <c r="H137">
        <f t="shared" si="7"/>
        <v>0</v>
      </c>
      <c r="I137">
        <f t="shared" si="8"/>
        <v>0</v>
      </c>
      <c r="J137">
        <f t="shared" si="9"/>
        <v>1</v>
      </c>
      <c r="K137">
        <f t="shared" si="10"/>
        <v>0</v>
      </c>
      <c r="L137">
        <f t="shared" si="11"/>
        <v>0</v>
      </c>
    </row>
    <row r="138" spans="1:12" x14ac:dyDescent="0.3">
      <c r="A138" s="6">
        <v>1</v>
      </c>
      <c r="B138" s="1">
        <v>3.5</v>
      </c>
      <c r="C138" s="1">
        <v>23.5</v>
      </c>
      <c r="D138" s="1">
        <v>25.9</v>
      </c>
      <c r="E138" s="1">
        <v>477.2</v>
      </c>
      <c r="F138">
        <v>5.4249558162936005</v>
      </c>
      <c r="G138">
        <f t="shared" si="6"/>
        <v>0.99561406040948341</v>
      </c>
      <c r="H138">
        <f t="shared" si="7"/>
        <v>1</v>
      </c>
      <c r="I138">
        <f t="shared" si="8"/>
        <v>1</v>
      </c>
      <c r="J138">
        <f t="shared" si="9"/>
        <v>0</v>
      </c>
      <c r="K138">
        <f t="shared" si="10"/>
        <v>0</v>
      </c>
      <c r="L138">
        <f t="shared" si="11"/>
        <v>0</v>
      </c>
    </row>
    <row r="139" spans="1:12" x14ac:dyDescent="0.3">
      <c r="A139" s="6">
        <v>0</v>
      </c>
      <c r="B139" s="1">
        <v>13</v>
      </c>
      <c r="C139" s="1">
        <v>4</v>
      </c>
      <c r="D139" s="1">
        <v>10.6</v>
      </c>
      <c r="E139" s="1">
        <v>557.4</v>
      </c>
      <c r="F139">
        <v>1.0184958959012</v>
      </c>
      <c r="G139">
        <f t="shared" si="6"/>
        <v>0.73467951469385628</v>
      </c>
      <c r="H139">
        <f t="shared" si="7"/>
        <v>1</v>
      </c>
      <c r="I139">
        <f t="shared" si="8"/>
        <v>0</v>
      </c>
      <c r="J139">
        <f t="shared" si="9"/>
        <v>0</v>
      </c>
      <c r="K139">
        <f t="shared" si="10"/>
        <v>1</v>
      </c>
      <c r="L139">
        <f t="shared" si="11"/>
        <v>0</v>
      </c>
    </row>
    <row r="140" spans="1:12" x14ac:dyDescent="0.3">
      <c r="A140" s="6">
        <v>1</v>
      </c>
      <c r="B140" s="1">
        <v>11.9</v>
      </c>
      <c r="C140" s="1">
        <v>12.9</v>
      </c>
      <c r="D140" s="1">
        <v>6</v>
      </c>
      <c r="E140" s="1">
        <v>861.9</v>
      </c>
      <c r="F140">
        <v>1.1248946144722001</v>
      </c>
      <c r="G140">
        <f t="shared" si="6"/>
        <v>0.7548954880874128</v>
      </c>
      <c r="H140">
        <f t="shared" si="7"/>
        <v>1</v>
      </c>
      <c r="I140">
        <f t="shared" si="8"/>
        <v>1</v>
      </c>
      <c r="J140">
        <f t="shared" si="9"/>
        <v>0</v>
      </c>
      <c r="K140">
        <f t="shared" si="10"/>
        <v>0</v>
      </c>
      <c r="L140">
        <f t="shared" si="11"/>
        <v>0</v>
      </c>
    </row>
    <row r="141" spans="1:12" x14ac:dyDescent="0.3">
      <c r="A141" s="6">
        <v>0</v>
      </c>
      <c r="B141" s="1">
        <v>24.2</v>
      </c>
      <c r="C141" s="1">
        <v>16.899999999999999</v>
      </c>
      <c r="D141" s="1">
        <v>7.6</v>
      </c>
      <c r="E141" s="1">
        <v>636.5</v>
      </c>
      <c r="F141">
        <v>-0.44265439221299996</v>
      </c>
      <c r="G141">
        <f t="shared" si="6"/>
        <v>0.39110866279611745</v>
      </c>
      <c r="H141">
        <f t="shared" si="7"/>
        <v>0</v>
      </c>
      <c r="I141">
        <f t="shared" si="8"/>
        <v>0</v>
      </c>
      <c r="J141">
        <f t="shared" si="9"/>
        <v>1</v>
      </c>
      <c r="K141">
        <f t="shared" si="10"/>
        <v>0</v>
      </c>
      <c r="L141">
        <f t="shared" si="11"/>
        <v>0</v>
      </c>
    </row>
    <row r="142" spans="1:12" x14ac:dyDescent="0.3">
      <c r="A142" s="6">
        <v>1</v>
      </c>
      <c r="B142" s="1">
        <v>16.899999999999999</v>
      </c>
      <c r="C142" s="1">
        <v>23.3</v>
      </c>
      <c r="D142" s="1">
        <v>15.2</v>
      </c>
      <c r="E142" s="1">
        <v>660.7</v>
      </c>
      <c r="F142">
        <v>1.9771876918666003</v>
      </c>
      <c r="G142">
        <f t="shared" si="6"/>
        <v>0.87838104902417191</v>
      </c>
      <c r="H142">
        <f t="shared" si="7"/>
        <v>1</v>
      </c>
      <c r="I142">
        <f t="shared" si="8"/>
        <v>1</v>
      </c>
      <c r="J142">
        <f t="shared" si="9"/>
        <v>0</v>
      </c>
      <c r="K142">
        <f t="shared" si="10"/>
        <v>0</v>
      </c>
      <c r="L142">
        <f t="shared" si="11"/>
        <v>0</v>
      </c>
    </row>
    <row r="143" spans="1:12" x14ac:dyDescent="0.3">
      <c r="A143" s="6">
        <v>1</v>
      </c>
      <c r="B143" s="1">
        <v>11.3</v>
      </c>
      <c r="C143" s="1">
        <v>7</v>
      </c>
      <c r="D143" s="1">
        <v>18</v>
      </c>
      <c r="E143" s="1">
        <v>654</v>
      </c>
      <c r="F143">
        <v>2.3109518850519999</v>
      </c>
      <c r="G143">
        <f t="shared" si="6"/>
        <v>0.90978001682576037</v>
      </c>
      <c r="H143">
        <f t="shared" si="7"/>
        <v>1</v>
      </c>
      <c r="I143">
        <f t="shared" si="8"/>
        <v>1</v>
      </c>
      <c r="J143">
        <f t="shared" si="9"/>
        <v>0</v>
      </c>
      <c r="K143">
        <f t="shared" si="10"/>
        <v>0</v>
      </c>
      <c r="L143">
        <f t="shared" si="11"/>
        <v>0</v>
      </c>
    </row>
    <row r="144" spans="1:12" x14ac:dyDescent="0.3">
      <c r="A144" s="6">
        <v>1</v>
      </c>
      <c r="B144" s="1">
        <v>3.4</v>
      </c>
      <c r="C144" s="1">
        <v>11.6</v>
      </c>
      <c r="D144" s="1">
        <v>14.6</v>
      </c>
      <c r="E144" s="1">
        <v>307.89999999999998</v>
      </c>
      <c r="F144">
        <v>3.4863813984202001</v>
      </c>
      <c r="G144">
        <f t="shared" si="6"/>
        <v>0.97029778503870623</v>
      </c>
      <c r="H144">
        <f t="shared" si="7"/>
        <v>1</v>
      </c>
      <c r="I144">
        <f t="shared" si="8"/>
        <v>1</v>
      </c>
      <c r="J144">
        <f t="shared" si="9"/>
        <v>0</v>
      </c>
      <c r="K144">
        <f t="shared" si="10"/>
        <v>0</v>
      </c>
      <c r="L144">
        <f t="shared" si="11"/>
        <v>0</v>
      </c>
    </row>
    <row r="145" spans="1:12" x14ac:dyDescent="0.3">
      <c r="A145" s="6">
        <v>0</v>
      </c>
      <c r="B145" s="1">
        <v>19.899999999999999</v>
      </c>
      <c r="C145" s="1">
        <v>17.100000000000001</v>
      </c>
      <c r="D145" s="1">
        <v>10.6</v>
      </c>
      <c r="E145" s="1">
        <v>530.4</v>
      </c>
      <c r="F145">
        <v>0.62544672787520028</v>
      </c>
      <c r="G145">
        <f t="shared" si="6"/>
        <v>0.65145630600029292</v>
      </c>
      <c r="H145">
        <f t="shared" si="7"/>
        <v>1</v>
      </c>
      <c r="I145">
        <f t="shared" si="8"/>
        <v>0</v>
      </c>
      <c r="J145">
        <f t="shared" si="9"/>
        <v>0</v>
      </c>
      <c r="K145">
        <f t="shared" si="10"/>
        <v>1</v>
      </c>
      <c r="L145">
        <f t="shared" si="11"/>
        <v>0</v>
      </c>
    </row>
    <row r="146" spans="1:12" x14ac:dyDescent="0.3">
      <c r="A146" s="6">
        <v>1</v>
      </c>
      <c r="B146" s="1">
        <v>15.1</v>
      </c>
      <c r="C146" s="1">
        <v>21.9</v>
      </c>
      <c r="D146" s="1">
        <v>24.7</v>
      </c>
      <c r="E146" s="1">
        <v>555.6</v>
      </c>
      <c r="F146">
        <v>3.3063072211928</v>
      </c>
      <c r="G146">
        <f t="shared" ref="G146:G209" si="12">+EXP(F146)/(1+EXP(F146))</f>
        <v>0.96464455282040462</v>
      </c>
      <c r="H146">
        <f t="shared" ref="H146:H209" si="13">+IF(G146&gt;0.45,1,0)</f>
        <v>1</v>
      </c>
      <c r="I146">
        <f t="shared" ref="I146:I209" si="14">+IF(AND(A146=1,H146=1),1,0)</f>
        <v>1</v>
      </c>
      <c r="J146">
        <f t="shared" ref="J146:J209" si="15">+IF(AND(A146=0,H146=0),1,0)</f>
        <v>0</v>
      </c>
      <c r="K146">
        <f t="shared" ref="K146:K209" si="16">+IF(AND(A146=0,H146=1),1,0)</f>
        <v>0</v>
      </c>
      <c r="L146">
        <f t="shared" ref="L146:L209" si="17">+IF(AND(A146=1,H146=0),1,0)</f>
        <v>0</v>
      </c>
    </row>
    <row r="147" spans="1:12" x14ac:dyDescent="0.3">
      <c r="A147" s="6">
        <v>1</v>
      </c>
      <c r="B147" s="1">
        <v>16.600000000000001</v>
      </c>
      <c r="C147" s="1">
        <v>7</v>
      </c>
      <c r="D147" s="1">
        <v>19.7</v>
      </c>
      <c r="E147" s="1">
        <v>393.2</v>
      </c>
      <c r="F147">
        <v>1.6736129709015994</v>
      </c>
      <c r="G147">
        <f t="shared" si="12"/>
        <v>0.84205692970208834</v>
      </c>
      <c r="H147">
        <f t="shared" si="13"/>
        <v>1</v>
      </c>
      <c r="I147">
        <f t="shared" si="14"/>
        <v>1</v>
      </c>
      <c r="J147">
        <f t="shared" si="15"/>
        <v>0</v>
      </c>
      <c r="K147">
        <f t="shared" si="16"/>
        <v>0</v>
      </c>
      <c r="L147">
        <f t="shared" si="17"/>
        <v>0</v>
      </c>
    </row>
    <row r="148" spans="1:12" x14ac:dyDescent="0.3">
      <c r="A148" s="6">
        <v>1</v>
      </c>
      <c r="B148" s="1">
        <v>4.4000000000000004</v>
      </c>
      <c r="C148" s="1">
        <v>7.9</v>
      </c>
      <c r="D148" s="1">
        <v>9.6999999999999993</v>
      </c>
      <c r="E148" s="1">
        <v>894.7</v>
      </c>
      <c r="F148">
        <v>2.4927061775585999</v>
      </c>
      <c r="G148">
        <f t="shared" si="12"/>
        <v>0.92362891145009807</v>
      </c>
      <c r="H148">
        <f t="shared" si="13"/>
        <v>1</v>
      </c>
      <c r="I148">
        <f t="shared" si="14"/>
        <v>1</v>
      </c>
      <c r="J148">
        <f t="shared" si="15"/>
        <v>0</v>
      </c>
      <c r="K148">
        <f t="shared" si="16"/>
        <v>0</v>
      </c>
      <c r="L148">
        <f t="shared" si="17"/>
        <v>0</v>
      </c>
    </row>
    <row r="149" spans="1:12" x14ac:dyDescent="0.3">
      <c r="A149" s="6">
        <v>0</v>
      </c>
      <c r="B149" s="1">
        <v>22.6</v>
      </c>
      <c r="C149" s="1">
        <v>3</v>
      </c>
      <c r="D149" s="1">
        <v>16</v>
      </c>
      <c r="E149" s="1">
        <v>335.9</v>
      </c>
      <c r="F149">
        <v>5.4004594284199348E-2</v>
      </c>
      <c r="G149">
        <f t="shared" si="12"/>
        <v>0.51349786819038878</v>
      </c>
      <c r="H149">
        <f t="shared" si="13"/>
        <v>1</v>
      </c>
      <c r="I149">
        <f t="shared" si="14"/>
        <v>0</v>
      </c>
      <c r="J149">
        <f t="shared" si="15"/>
        <v>0</v>
      </c>
      <c r="K149">
        <f t="shared" si="16"/>
        <v>1</v>
      </c>
      <c r="L149">
        <f t="shared" si="17"/>
        <v>0</v>
      </c>
    </row>
    <row r="150" spans="1:12" x14ac:dyDescent="0.3">
      <c r="A150" s="6">
        <v>1</v>
      </c>
      <c r="B150" s="1">
        <v>15.7</v>
      </c>
      <c r="C150" s="1">
        <v>19.7</v>
      </c>
      <c r="D150" s="1">
        <v>9.6</v>
      </c>
      <c r="E150" s="1">
        <v>935.3</v>
      </c>
      <c r="F150">
        <v>1.2952871075814003</v>
      </c>
      <c r="G150">
        <f t="shared" si="12"/>
        <v>0.78504074250712141</v>
      </c>
      <c r="H150">
        <f t="shared" si="13"/>
        <v>1</v>
      </c>
      <c r="I150">
        <f t="shared" si="14"/>
        <v>1</v>
      </c>
      <c r="J150">
        <f t="shared" si="15"/>
        <v>0</v>
      </c>
      <c r="K150">
        <f t="shared" si="16"/>
        <v>0</v>
      </c>
      <c r="L150">
        <f t="shared" si="17"/>
        <v>0</v>
      </c>
    </row>
    <row r="151" spans="1:12" x14ac:dyDescent="0.3">
      <c r="A151" s="6">
        <v>1</v>
      </c>
      <c r="B151" s="1">
        <v>9.5</v>
      </c>
      <c r="C151" s="1">
        <v>23.5</v>
      </c>
      <c r="D151" s="1">
        <v>13.1</v>
      </c>
      <c r="E151" s="1">
        <v>273.39999999999998</v>
      </c>
      <c r="F151">
        <v>2.9832431319091999</v>
      </c>
      <c r="G151">
        <f t="shared" si="12"/>
        <v>0.95181134058214756</v>
      </c>
      <c r="H151">
        <f t="shared" si="13"/>
        <v>1</v>
      </c>
      <c r="I151">
        <f t="shared" si="14"/>
        <v>1</v>
      </c>
      <c r="J151">
        <f t="shared" si="15"/>
        <v>0</v>
      </c>
      <c r="K151">
        <f t="shared" si="16"/>
        <v>0</v>
      </c>
      <c r="L151">
        <f t="shared" si="17"/>
        <v>0</v>
      </c>
    </row>
    <row r="152" spans="1:12" x14ac:dyDescent="0.3">
      <c r="A152" s="6">
        <v>1</v>
      </c>
      <c r="B152" s="1">
        <v>15.7</v>
      </c>
      <c r="C152" s="1">
        <v>21.6</v>
      </c>
      <c r="D152" s="1">
        <v>9.6</v>
      </c>
      <c r="E152" s="1">
        <v>260.60000000000002</v>
      </c>
      <c r="F152">
        <v>1.4661963081828002</v>
      </c>
      <c r="G152">
        <f t="shared" si="12"/>
        <v>0.81247855505744671</v>
      </c>
      <c r="H152">
        <f t="shared" si="13"/>
        <v>1</v>
      </c>
      <c r="I152">
        <f t="shared" si="14"/>
        <v>1</v>
      </c>
      <c r="J152">
        <f t="shared" si="15"/>
        <v>0</v>
      </c>
      <c r="K152">
        <f t="shared" si="16"/>
        <v>0</v>
      </c>
      <c r="L152">
        <f t="shared" si="17"/>
        <v>0</v>
      </c>
    </row>
    <row r="153" spans="1:12" x14ac:dyDescent="0.3">
      <c r="A153" s="6">
        <v>1</v>
      </c>
      <c r="B153" s="1">
        <v>5.6</v>
      </c>
      <c r="C153" s="1">
        <v>21.1</v>
      </c>
      <c r="D153" s="1">
        <v>15.4</v>
      </c>
      <c r="E153" s="1">
        <v>264.60000000000002</v>
      </c>
      <c r="F153">
        <v>3.7517864805348005</v>
      </c>
      <c r="G153">
        <f t="shared" si="12"/>
        <v>0.97706270136557616</v>
      </c>
      <c r="H153">
        <f t="shared" si="13"/>
        <v>1</v>
      </c>
      <c r="I153">
        <f t="shared" si="14"/>
        <v>1</v>
      </c>
      <c r="J153">
        <f t="shared" si="15"/>
        <v>0</v>
      </c>
      <c r="K153">
        <f t="shared" si="16"/>
        <v>0</v>
      </c>
      <c r="L153">
        <f t="shared" si="17"/>
        <v>0</v>
      </c>
    </row>
    <row r="154" spans="1:12" x14ac:dyDescent="0.3">
      <c r="A154" s="6">
        <v>1</v>
      </c>
      <c r="B154" s="1">
        <v>24.8</v>
      </c>
      <c r="C154" s="1">
        <v>9.9</v>
      </c>
      <c r="D154" s="1">
        <v>11.5</v>
      </c>
      <c r="E154" s="1">
        <v>462.9</v>
      </c>
      <c r="F154">
        <v>-0.45694731988980042</v>
      </c>
      <c r="G154">
        <f t="shared" si="12"/>
        <v>0.38771025379802621</v>
      </c>
      <c r="H154">
        <f t="shared" si="13"/>
        <v>0</v>
      </c>
      <c r="I154">
        <f t="shared" si="14"/>
        <v>0</v>
      </c>
      <c r="J154">
        <f t="shared" si="15"/>
        <v>0</v>
      </c>
      <c r="K154">
        <f t="shared" si="16"/>
        <v>0</v>
      </c>
      <c r="L154">
        <f t="shared" si="17"/>
        <v>1</v>
      </c>
    </row>
    <row r="155" spans="1:12" x14ac:dyDescent="0.3">
      <c r="A155" s="6">
        <v>1</v>
      </c>
      <c r="B155" s="1">
        <v>21.9</v>
      </c>
      <c r="C155" s="1">
        <v>21.9</v>
      </c>
      <c r="D155" s="1">
        <v>15</v>
      </c>
      <c r="E155" s="1">
        <v>301.60000000000002</v>
      </c>
      <c r="F155">
        <v>1.0999069553408001</v>
      </c>
      <c r="G155">
        <f t="shared" si="12"/>
        <v>0.75024267142258239</v>
      </c>
      <c r="H155">
        <f t="shared" si="13"/>
        <v>1</v>
      </c>
      <c r="I155">
        <f t="shared" si="14"/>
        <v>1</v>
      </c>
      <c r="J155">
        <f t="shared" si="15"/>
        <v>0</v>
      </c>
      <c r="K155">
        <f t="shared" si="16"/>
        <v>0</v>
      </c>
      <c r="L155">
        <f t="shared" si="17"/>
        <v>0</v>
      </c>
    </row>
    <row r="156" spans="1:12" x14ac:dyDescent="0.3">
      <c r="A156" s="6">
        <v>1</v>
      </c>
      <c r="B156" s="1">
        <v>17.399999999999999</v>
      </c>
      <c r="C156" s="1">
        <v>15.5</v>
      </c>
      <c r="D156" s="1">
        <v>14</v>
      </c>
      <c r="E156" s="1">
        <v>422.6</v>
      </c>
      <c r="F156">
        <v>1.3484656193388</v>
      </c>
      <c r="G156">
        <f t="shared" si="12"/>
        <v>0.79387866252569972</v>
      </c>
      <c r="H156">
        <f t="shared" si="13"/>
        <v>1</v>
      </c>
      <c r="I156">
        <f t="shared" si="14"/>
        <v>1</v>
      </c>
      <c r="J156">
        <f t="shared" si="15"/>
        <v>0</v>
      </c>
      <c r="K156">
        <f t="shared" si="16"/>
        <v>0</v>
      </c>
      <c r="L156">
        <f t="shared" si="17"/>
        <v>0</v>
      </c>
    </row>
    <row r="157" spans="1:12" x14ac:dyDescent="0.3">
      <c r="A157" s="6">
        <v>1</v>
      </c>
      <c r="B157" s="1">
        <v>22.5</v>
      </c>
      <c r="C157" s="1">
        <v>18.100000000000001</v>
      </c>
      <c r="D157" s="1">
        <v>19.399999999999999</v>
      </c>
      <c r="E157" s="1">
        <v>484.8</v>
      </c>
      <c r="F157">
        <v>1.2858597204624003</v>
      </c>
      <c r="G157">
        <f t="shared" si="12"/>
        <v>0.78344557950522487</v>
      </c>
      <c r="H157">
        <f t="shared" si="13"/>
        <v>1</v>
      </c>
      <c r="I157">
        <f t="shared" si="14"/>
        <v>1</v>
      </c>
      <c r="J157">
        <f t="shared" si="15"/>
        <v>0</v>
      </c>
      <c r="K157">
        <f t="shared" si="16"/>
        <v>0</v>
      </c>
      <c r="L157">
        <f t="shared" si="17"/>
        <v>0</v>
      </c>
    </row>
    <row r="158" spans="1:12" x14ac:dyDescent="0.3">
      <c r="A158" s="6">
        <v>0</v>
      </c>
      <c r="B158" s="1">
        <v>10.199999999999999</v>
      </c>
      <c r="C158" s="1">
        <v>19.2</v>
      </c>
      <c r="D158" s="1">
        <v>19</v>
      </c>
      <c r="E158" s="1">
        <v>715.3</v>
      </c>
      <c r="F158">
        <v>3.2743964142214002</v>
      </c>
      <c r="G158">
        <f t="shared" si="12"/>
        <v>0.96353993610324873</v>
      </c>
      <c r="H158">
        <f t="shared" si="13"/>
        <v>1</v>
      </c>
      <c r="I158">
        <f t="shared" si="14"/>
        <v>0</v>
      </c>
      <c r="J158">
        <f t="shared" si="15"/>
        <v>0</v>
      </c>
      <c r="K158">
        <f t="shared" si="16"/>
        <v>1</v>
      </c>
      <c r="L158">
        <f t="shared" si="17"/>
        <v>0</v>
      </c>
    </row>
    <row r="159" spans="1:12" x14ac:dyDescent="0.3">
      <c r="A159" s="6">
        <v>0</v>
      </c>
      <c r="B159" s="1">
        <v>21.7</v>
      </c>
      <c r="C159" s="1">
        <v>9</v>
      </c>
      <c r="D159" s="1">
        <v>18.2</v>
      </c>
      <c r="E159" s="1">
        <v>865.4</v>
      </c>
      <c r="F159">
        <v>0.73590468900520001</v>
      </c>
      <c r="G159">
        <f t="shared" si="12"/>
        <v>0.67609967613429578</v>
      </c>
      <c r="H159">
        <f t="shared" si="13"/>
        <v>1</v>
      </c>
      <c r="I159">
        <f t="shared" si="14"/>
        <v>0</v>
      </c>
      <c r="J159">
        <f t="shared" si="15"/>
        <v>0</v>
      </c>
      <c r="K159">
        <f t="shared" si="16"/>
        <v>1</v>
      </c>
      <c r="L159">
        <f t="shared" si="17"/>
        <v>0</v>
      </c>
    </row>
    <row r="160" spans="1:12" x14ac:dyDescent="0.3">
      <c r="A160" s="6">
        <v>1</v>
      </c>
      <c r="B160" s="1">
        <v>14.1</v>
      </c>
      <c r="C160" s="1">
        <v>15.9</v>
      </c>
      <c r="D160" s="1">
        <v>6.6</v>
      </c>
      <c r="E160" s="1">
        <v>299.3</v>
      </c>
      <c r="F160">
        <v>1.0582926438134002</v>
      </c>
      <c r="G160">
        <f t="shared" si="12"/>
        <v>0.7423641321441905</v>
      </c>
      <c r="H160">
        <f t="shared" si="13"/>
        <v>1</v>
      </c>
      <c r="I160">
        <f t="shared" si="14"/>
        <v>1</v>
      </c>
      <c r="J160">
        <f t="shared" si="15"/>
        <v>0</v>
      </c>
      <c r="K160">
        <f t="shared" si="16"/>
        <v>0</v>
      </c>
      <c r="L160">
        <f t="shared" si="17"/>
        <v>0</v>
      </c>
    </row>
    <row r="161" spans="1:12" x14ac:dyDescent="0.3">
      <c r="A161" s="6">
        <v>1</v>
      </c>
      <c r="B161" s="1">
        <v>12.3</v>
      </c>
      <c r="C161" s="1">
        <v>17.7</v>
      </c>
      <c r="D161" s="1">
        <v>20.8</v>
      </c>
      <c r="E161" s="1">
        <v>874.3</v>
      </c>
      <c r="F161">
        <v>3.0442286184634</v>
      </c>
      <c r="G161">
        <f t="shared" si="12"/>
        <v>0.95453270448639893</v>
      </c>
      <c r="H161">
        <f t="shared" si="13"/>
        <v>1</v>
      </c>
      <c r="I161">
        <f t="shared" si="14"/>
        <v>1</v>
      </c>
      <c r="J161">
        <f t="shared" si="15"/>
        <v>0</v>
      </c>
      <c r="K161">
        <f t="shared" si="16"/>
        <v>0</v>
      </c>
      <c r="L161">
        <f t="shared" si="17"/>
        <v>0</v>
      </c>
    </row>
    <row r="162" spans="1:12" x14ac:dyDescent="0.3">
      <c r="A162" s="6">
        <v>0</v>
      </c>
      <c r="B162" s="1">
        <v>20.2</v>
      </c>
      <c r="C162" s="1">
        <v>8.6</v>
      </c>
      <c r="D162" s="1">
        <v>9.6</v>
      </c>
      <c r="E162" s="1">
        <v>775.8</v>
      </c>
      <c r="F162">
        <v>-3.3457340679599934E-2</v>
      </c>
      <c r="G162">
        <f t="shared" si="12"/>
        <v>0.49163644499140574</v>
      </c>
      <c r="H162">
        <f t="shared" si="13"/>
        <v>1</v>
      </c>
      <c r="I162">
        <f t="shared" si="14"/>
        <v>0</v>
      </c>
      <c r="J162">
        <f t="shared" si="15"/>
        <v>0</v>
      </c>
      <c r="K162">
        <f t="shared" si="16"/>
        <v>1</v>
      </c>
      <c r="L162">
        <f t="shared" si="17"/>
        <v>0</v>
      </c>
    </row>
    <row r="163" spans="1:12" x14ac:dyDescent="0.3">
      <c r="A163" s="6">
        <v>0</v>
      </c>
      <c r="B163" s="1">
        <v>22.7</v>
      </c>
      <c r="C163" s="1">
        <v>18.5</v>
      </c>
      <c r="D163" s="1">
        <v>9.6999999999999993</v>
      </c>
      <c r="E163" s="1">
        <v>237.9</v>
      </c>
      <c r="F163">
        <v>0.17228055016019983</v>
      </c>
      <c r="G163">
        <f t="shared" si="12"/>
        <v>0.54296392386020664</v>
      </c>
      <c r="H163">
        <f t="shared" si="13"/>
        <v>1</v>
      </c>
      <c r="I163">
        <f t="shared" si="14"/>
        <v>0</v>
      </c>
      <c r="J163">
        <f t="shared" si="15"/>
        <v>0</v>
      </c>
      <c r="K163">
        <f t="shared" si="16"/>
        <v>1</v>
      </c>
      <c r="L163">
        <f t="shared" si="17"/>
        <v>0</v>
      </c>
    </row>
    <row r="164" spans="1:12" x14ac:dyDescent="0.3">
      <c r="A164" s="6">
        <v>1</v>
      </c>
      <c r="B164" s="1">
        <v>17.600000000000001</v>
      </c>
      <c r="C164" s="1">
        <v>19.399999999999999</v>
      </c>
      <c r="D164" s="1">
        <v>6.1</v>
      </c>
      <c r="E164" s="1">
        <v>252.4</v>
      </c>
      <c r="F164">
        <v>0.63014082771119995</v>
      </c>
      <c r="G164">
        <f t="shared" si="12"/>
        <v>0.65252139376291995</v>
      </c>
      <c r="H164">
        <f t="shared" si="13"/>
        <v>1</v>
      </c>
      <c r="I164">
        <f t="shared" si="14"/>
        <v>1</v>
      </c>
      <c r="J164">
        <f t="shared" si="15"/>
        <v>0</v>
      </c>
      <c r="K164">
        <f t="shared" si="16"/>
        <v>0</v>
      </c>
      <c r="L164">
        <f t="shared" si="17"/>
        <v>0</v>
      </c>
    </row>
    <row r="165" spans="1:12" x14ac:dyDescent="0.3">
      <c r="A165" s="6">
        <v>1</v>
      </c>
      <c r="B165" s="1">
        <v>24.8</v>
      </c>
      <c r="C165" s="1">
        <v>17.7</v>
      </c>
      <c r="D165" s="1">
        <v>16.399999999999999</v>
      </c>
      <c r="E165" s="1">
        <v>761.2</v>
      </c>
      <c r="F165">
        <v>0.51474482748559969</v>
      </c>
      <c r="G165">
        <f t="shared" si="12"/>
        <v>0.62591811241288975</v>
      </c>
      <c r="H165">
        <f t="shared" si="13"/>
        <v>1</v>
      </c>
      <c r="I165">
        <f t="shared" si="14"/>
        <v>1</v>
      </c>
      <c r="J165">
        <f t="shared" si="15"/>
        <v>0</v>
      </c>
      <c r="K165">
        <f t="shared" si="16"/>
        <v>0</v>
      </c>
      <c r="L165">
        <f t="shared" si="17"/>
        <v>0</v>
      </c>
    </row>
    <row r="166" spans="1:12" x14ac:dyDescent="0.3">
      <c r="A166" s="6">
        <v>1</v>
      </c>
      <c r="B166" s="1">
        <v>12.7</v>
      </c>
      <c r="C166" s="1">
        <v>15.7</v>
      </c>
      <c r="D166" s="1">
        <v>15</v>
      </c>
      <c r="E166" s="1">
        <v>361.8</v>
      </c>
      <c r="F166">
        <v>2.2446406249884001</v>
      </c>
      <c r="G166">
        <f t="shared" si="12"/>
        <v>0.90418724280788276</v>
      </c>
      <c r="H166">
        <f t="shared" si="13"/>
        <v>1</v>
      </c>
      <c r="I166">
        <f t="shared" si="14"/>
        <v>1</v>
      </c>
      <c r="J166">
        <f t="shared" si="15"/>
        <v>0</v>
      </c>
      <c r="K166">
        <f t="shared" si="16"/>
        <v>0</v>
      </c>
      <c r="L166">
        <f t="shared" si="17"/>
        <v>0</v>
      </c>
    </row>
    <row r="167" spans="1:12" x14ac:dyDescent="0.3">
      <c r="A167" s="6">
        <v>0</v>
      </c>
      <c r="B167" s="1">
        <v>22.6</v>
      </c>
      <c r="C167" s="1">
        <v>20.100000000000001</v>
      </c>
      <c r="D167" s="1">
        <v>13.5</v>
      </c>
      <c r="E167" s="1">
        <v>930.4</v>
      </c>
      <c r="F167">
        <v>0.65104528307519982</v>
      </c>
      <c r="G167">
        <f t="shared" si="12"/>
        <v>0.65724597615161151</v>
      </c>
      <c r="H167">
        <f t="shared" si="13"/>
        <v>1</v>
      </c>
      <c r="I167">
        <f t="shared" si="14"/>
        <v>0</v>
      </c>
      <c r="J167">
        <f t="shared" si="15"/>
        <v>0</v>
      </c>
      <c r="K167">
        <f t="shared" si="16"/>
        <v>1</v>
      </c>
      <c r="L167">
        <f t="shared" si="17"/>
        <v>0</v>
      </c>
    </row>
    <row r="168" spans="1:12" x14ac:dyDescent="0.3">
      <c r="A168" s="6">
        <v>1</v>
      </c>
      <c r="B168" s="1">
        <v>12.3</v>
      </c>
      <c r="C168" s="1">
        <v>9.9</v>
      </c>
      <c r="D168" s="1">
        <v>15.4</v>
      </c>
      <c r="E168" s="1">
        <v>328.3</v>
      </c>
      <c r="F168">
        <v>2.0385992061153999</v>
      </c>
      <c r="G168">
        <f t="shared" si="12"/>
        <v>0.88479055325497924</v>
      </c>
      <c r="H168">
        <f t="shared" si="13"/>
        <v>1</v>
      </c>
      <c r="I168">
        <f t="shared" si="14"/>
        <v>1</v>
      </c>
      <c r="J168">
        <f t="shared" si="15"/>
        <v>0</v>
      </c>
      <c r="K168">
        <f t="shared" si="16"/>
        <v>0</v>
      </c>
      <c r="L168">
        <f t="shared" si="17"/>
        <v>0</v>
      </c>
    </row>
    <row r="169" spans="1:12" x14ac:dyDescent="0.3">
      <c r="A169" s="6">
        <v>0</v>
      </c>
      <c r="B169" s="1">
        <v>25.3</v>
      </c>
      <c r="C169" s="1">
        <v>13.1</v>
      </c>
      <c r="D169" s="1">
        <v>22.9</v>
      </c>
      <c r="E169" s="1">
        <v>384.5</v>
      </c>
      <c r="F169">
        <v>0.97139143981099885</v>
      </c>
      <c r="G169">
        <f t="shared" si="12"/>
        <v>0.72539675436633233</v>
      </c>
      <c r="H169">
        <f t="shared" si="13"/>
        <v>1</v>
      </c>
      <c r="I169">
        <f t="shared" si="14"/>
        <v>0</v>
      </c>
      <c r="J169">
        <f t="shared" si="15"/>
        <v>0</v>
      </c>
      <c r="K169">
        <f t="shared" si="16"/>
        <v>1</v>
      </c>
      <c r="L169">
        <f t="shared" si="17"/>
        <v>0</v>
      </c>
    </row>
    <row r="170" spans="1:12" x14ac:dyDescent="0.3">
      <c r="A170" s="6">
        <v>1</v>
      </c>
      <c r="B170" s="1">
        <v>17.2</v>
      </c>
      <c r="C170" s="1">
        <v>17</v>
      </c>
      <c r="D170" s="1">
        <v>17.899999999999999</v>
      </c>
      <c r="E170" s="1">
        <v>536.70000000000005</v>
      </c>
      <c r="F170">
        <v>1.9060000891546001</v>
      </c>
      <c r="G170">
        <f t="shared" si="12"/>
        <v>0.8705691114284998</v>
      </c>
      <c r="H170">
        <f t="shared" si="13"/>
        <v>1</v>
      </c>
      <c r="I170">
        <f t="shared" si="14"/>
        <v>1</v>
      </c>
      <c r="J170">
        <f t="shared" si="15"/>
        <v>0</v>
      </c>
      <c r="K170">
        <f t="shared" si="16"/>
        <v>0</v>
      </c>
      <c r="L170">
        <f t="shared" si="17"/>
        <v>0</v>
      </c>
    </row>
    <row r="171" spans="1:12" x14ac:dyDescent="0.3">
      <c r="A171" s="6">
        <v>1</v>
      </c>
      <c r="B171" s="1">
        <v>16.5</v>
      </c>
      <c r="C171" s="1">
        <v>4</v>
      </c>
      <c r="D171" s="1">
        <v>15.6</v>
      </c>
      <c r="E171" s="1">
        <v>467.6</v>
      </c>
      <c r="F171">
        <v>1.0401914880488001</v>
      </c>
      <c r="G171">
        <f t="shared" si="12"/>
        <v>0.73888695214252975</v>
      </c>
      <c r="H171">
        <f t="shared" si="13"/>
        <v>1</v>
      </c>
      <c r="I171">
        <f t="shared" si="14"/>
        <v>1</v>
      </c>
      <c r="J171">
        <f t="shared" si="15"/>
        <v>0</v>
      </c>
      <c r="K171">
        <f t="shared" si="16"/>
        <v>0</v>
      </c>
      <c r="L171">
        <f t="shared" si="17"/>
        <v>0</v>
      </c>
    </row>
    <row r="172" spans="1:12" x14ac:dyDescent="0.3">
      <c r="A172" s="6">
        <v>1</v>
      </c>
      <c r="B172" s="1">
        <v>12.3</v>
      </c>
      <c r="C172" s="1">
        <v>22.5</v>
      </c>
      <c r="D172" s="1">
        <v>19.899999999999999</v>
      </c>
      <c r="E172" s="1">
        <v>237.8</v>
      </c>
      <c r="F172">
        <v>3.2671783388763997</v>
      </c>
      <c r="G172">
        <f t="shared" si="12"/>
        <v>0.96328550969215876</v>
      </c>
      <c r="H172">
        <f t="shared" si="13"/>
        <v>1</v>
      </c>
      <c r="I172">
        <f t="shared" si="14"/>
        <v>1</v>
      </c>
      <c r="J172">
        <f t="shared" si="15"/>
        <v>0</v>
      </c>
      <c r="K172">
        <f t="shared" si="16"/>
        <v>0</v>
      </c>
      <c r="L172">
        <f t="shared" si="17"/>
        <v>0</v>
      </c>
    </row>
    <row r="173" spans="1:12" x14ac:dyDescent="0.3">
      <c r="A173" s="6">
        <v>0</v>
      </c>
      <c r="B173" s="1">
        <v>29.1</v>
      </c>
      <c r="C173" s="1">
        <v>15.5</v>
      </c>
      <c r="D173" s="1">
        <v>21.4</v>
      </c>
      <c r="E173" s="1">
        <v>403.8</v>
      </c>
      <c r="F173">
        <v>0.31103204498439951</v>
      </c>
      <c r="G173">
        <f t="shared" si="12"/>
        <v>0.57713715159623424</v>
      </c>
      <c r="H173">
        <f t="shared" si="13"/>
        <v>1</v>
      </c>
      <c r="I173">
        <f t="shared" si="14"/>
        <v>0</v>
      </c>
      <c r="J173">
        <f t="shared" si="15"/>
        <v>0</v>
      </c>
      <c r="K173">
        <f t="shared" si="16"/>
        <v>1</v>
      </c>
      <c r="L173">
        <f t="shared" si="17"/>
        <v>0</v>
      </c>
    </row>
    <row r="174" spans="1:12" x14ac:dyDescent="0.3">
      <c r="A174" s="6">
        <v>0</v>
      </c>
      <c r="B174" s="1">
        <v>11.6</v>
      </c>
      <c r="C174" s="1">
        <v>2</v>
      </c>
      <c r="D174" s="1">
        <v>6</v>
      </c>
      <c r="E174" s="1">
        <v>326.39999999999998</v>
      </c>
      <c r="F174">
        <v>0.6230986863232002</v>
      </c>
      <c r="G174">
        <f t="shared" si="12"/>
        <v>0.65092296794342142</v>
      </c>
      <c r="H174">
        <f t="shared" si="13"/>
        <v>1</v>
      </c>
      <c r="I174">
        <f t="shared" si="14"/>
        <v>0</v>
      </c>
      <c r="J174">
        <f t="shared" si="15"/>
        <v>0</v>
      </c>
      <c r="K174">
        <f t="shared" si="16"/>
        <v>1</v>
      </c>
      <c r="L174">
        <f t="shared" si="17"/>
        <v>0</v>
      </c>
    </row>
    <row r="175" spans="1:12" x14ac:dyDescent="0.3">
      <c r="A175" s="6">
        <v>1</v>
      </c>
      <c r="B175" s="1">
        <v>20.6</v>
      </c>
      <c r="C175" s="1">
        <v>21.9</v>
      </c>
      <c r="D175" s="1">
        <v>14.4</v>
      </c>
      <c r="E175" s="1">
        <v>629.9</v>
      </c>
      <c r="F175">
        <v>1.2091698270561999</v>
      </c>
      <c r="G175">
        <f t="shared" si="12"/>
        <v>0.77015202654911219</v>
      </c>
      <c r="H175">
        <f t="shared" si="13"/>
        <v>1</v>
      </c>
      <c r="I175">
        <f t="shared" si="14"/>
        <v>1</v>
      </c>
      <c r="J175">
        <f t="shared" si="15"/>
        <v>0</v>
      </c>
      <c r="K175">
        <f t="shared" si="16"/>
        <v>0</v>
      </c>
      <c r="L175">
        <f t="shared" si="17"/>
        <v>0</v>
      </c>
    </row>
    <row r="176" spans="1:12" x14ac:dyDescent="0.3">
      <c r="A176" s="6">
        <v>1</v>
      </c>
      <c r="B176" s="1">
        <v>26.3</v>
      </c>
      <c r="C176" s="1">
        <v>10</v>
      </c>
      <c r="D176" s="1">
        <v>12.7</v>
      </c>
      <c r="E176" s="1">
        <v>520.20000000000005</v>
      </c>
      <c r="F176">
        <v>-0.56104492767240055</v>
      </c>
      <c r="G176">
        <f t="shared" si="12"/>
        <v>0.36330571810795109</v>
      </c>
      <c r="H176">
        <f t="shared" si="13"/>
        <v>0</v>
      </c>
      <c r="I176">
        <f t="shared" si="14"/>
        <v>0</v>
      </c>
      <c r="J176">
        <f t="shared" si="15"/>
        <v>0</v>
      </c>
      <c r="K176">
        <f t="shared" si="16"/>
        <v>0</v>
      </c>
      <c r="L176">
        <f t="shared" si="17"/>
        <v>1</v>
      </c>
    </row>
    <row r="177" spans="1:12" x14ac:dyDescent="0.3">
      <c r="A177" s="6">
        <v>0</v>
      </c>
      <c r="B177" s="1">
        <v>20.3</v>
      </c>
      <c r="C177" s="1">
        <v>20.9</v>
      </c>
      <c r="D177" s="1">
        <v>10.5</v>
      </c>
      <c r="E177" s="1">
        <v>373.1</v>
      </c>
      <c r="F177">
        <v>0.77437654825779967</v>
      </c>
      <c r="G177">
        <f t="shared" si="12"/>
        <v>0.68446686770747134</v>
      </c>
      <c r="H177">
        <f t="shared" si="13"/>
        <v>1</v>
      </c>
      <c r="I177">
        <f t="shared" si="14"/>
        <v>0</v>
      </c>
      <c r="J177">
        <f t="shared" si="15"/>
        <v>0</v>
      </c>
      <c r="K177">
        <f t="shared" si="16"/>
        <v>1</v>
      </c>
      <c r="L177">
        <f t="shared" si="17"/>
        <v>0</v>
      </c>
    </row>
    <row r="178" spans="1:12" x14ac:dyDescent="0.3">
      <c r="A178" s="6">
        <v>1</v>
      </c>
      <c r="B178" s="1">
        <v>17.399999999999999</v>
      </c>
      <c r="C178" s="1">
        <v>0</v>
      </c>
      <c r="D178" s="1">
        <v>16.600000000000001</v>
      </c>
      <c r="E178" s="1">
        <v>375.2</v>
      </c>
      <c r="F178">
        <v>0.79813450881760017</v>
      </c>
      <c r="G178">
        <f t="shared" si="12"/>
        <v>0.68957529312016941</v>
      </c>
      <c r="H178">
        <f t="shared" si="13"/>
        <v>1</v>
      </c>
      <c r="I178">
        <f t="shared" si="14"/>
        <v>1</v>
      </c>
      <c r="J178">
        <f t="shared" si="15"/>
        <v>0</v>
      </c>
      <c r="K178">
        <f t="shared" si="16"/>
        <v>0</v>
      </c>
      <c r="L178">
        <f t="shared" si="17"/>
        <v>0</v>
      </c>
    </row>
    <row r="179" spans="1:12" x14ac:dyDescent="0.3">
      <c r="A179" s="6">
        <v>1</v>
      </c>
      <c r="B179" s="1">
        <v>20.2</v>
      </c>
      <c r="C179" s="1">
        <v>14.4</v>
      </c>
      <c r="D179" s="1">
        <v>9.5</v>
      </c>
      <c r="E179" s="1">
        <v>596.4</v>
      </c>
      <c r="F179">
        <v>0.29315915198320019</v>
      </c>
      <c r="G179">
        <f t="shared" si="12"/>
        <v>0.5727693691294572</v>
      </c>
      <c r="H179">
        <f t="shared" si="13"/>
        <v>1</v>
      </c>
      <c r="I179">
        <f t="shared" si="14"/>
        <v>1</v>
      </c>
      <c r="J179">
        <f t="shared" si="15"/>
        <v>0</v>
      </c>
      <c r="K179">
        <f t="shared" si="16"/>
        <v>0</v>
      </c>
      <c r="L179">
        <f t="shared" si="17"/>
        <v>0</v>
      </c>
    </row>
    <row r="180" spans="1:12" x14ac:dyDescent="0.3">
      <c r="A180" s="6">
        <v>1</v>
      </c>
      <c r="B180" s="1">
        <v>16.100000000000001</v>
      </c>
      <c r="C180" s="1">
        <v>15.1</v>
      </c>
      <c r="D180" s="1">
        <v>19</v>
      </c>
      <c r="E180" s="1">
        <v>459.4</v>
      </c>
      <c r="F180">
        <v>2.1148833263772002</v>
      </c>
      <c r="G180">
        <f t="shared" si="12"/>
        <v>0.89234136548679244</v>
      </c>
      <c r="H180">
        <f t="shared" si="13"/>
        <v>1</v>
      </c>
      <c r="I180">
        <f t="shared" si="14"/>
        <v>1</v>
      </c>
      <c r="J180">
        <f t="shared" si="15"/>
        <v>0</v>
      </c>
      <c r="K180">
        <f t="shared" si="16"/>
        <v>0</v>
      </c>
      <c r="L180">
        <f t="shared" si="17"/>
        <v>0</v>
      </c>
    </row>
    <row r="181" spans="1:12" x14ac:dyDescent="0.3">
      <c r="A181" s="6">
        <v>1</v>
      </c>
      <c r="B181" s="1">
        <v>9.9</v>
      </c>
      <c r="C181" s="1">
        <v>3</v>
      </c>
      <c r="D181" s="1">
        <v>17.399999999999999</v>
      </c>
      <c r="E181" s="1">
        <v>642.20000000000005</v>
      </c>
      <c r="F181">
        <v>2.2484434175636001</v>
      </c>
      <c r="G181">
        <f t="shared" si="12"/>
        <v>0.90451618290202174</v>
      </c>
      <c r="H181">
        <f t="shared" si="13"/>
        <v>1</v>
      </c>
      <c r="I181">
        <f t="shared" si="14"/>
        <v>1</v>
      </c>
      <c r="J181">
        <f t="shared" si="15"/>
        <v>0</v>
      </c>
      <c r="K181">
        <f t="shared" si="16"/>
        <v>0</v>
      </c>
      <c r="L181">
        <f t="shared" si="17"/>
        <v>0</v>
      </c>
    </row>
    <row r="182" spans="1:12" x14ac:dyDescent="0.3">
      <c r="A182" s="6">
        <v>1</v>
      </c>
      <c r="B182" s="1">
        <v>16.5</v>
      </c>
      <c r="C182" s="1">
        <v>4</v>
      </c>
      <c r="D182" s="1">
        <v>15.6</v>
      </c>
      <c r="E182" s="1">
        <v>467.6</v>
      </c>
      <c r="F182">
        <v>1.0401914880488001</v>
      </c>
      <c r="G182">
        <f t="shared" si="12"/>
        <v>0.73888695214252975</v>
      </c>
      <c r="H182">
        <f t="shared" si="13"/>
        <v>1</v>
      </c>
      <c r="I182">
        <f t="shared" si="14"/>
        <v>1</v>
      </c>
      <c r="J182">
        <f t="shared" si="15"/>
        <v>0</v>
      </c>
      <c r="K182">
        <f t="shared" si="16"/>
        <v>0</v>
      </c>
      <c r="L182">
        <f t="shared" si="17"/>
        <v>0</v>
      </c>
    </row>
    <row r="183" spans="1:12" x14ac:dyDescent="0.3">
      <c r="A183" s="6">
        <v>1</v>
      </c>
      <c r="B183" s="1">
        <v>19.2</v>
      </c>
      <c r="C183" s="1">
        <v>12.9</v>
      </c>
      <c r="D183" s="1">
        <v>12.4</v>
      </c>
      <c r="E183" s="1">
        <v>651.9</v>
      </c>
      <c r="F183">
        <v>0.70416353949219967</v>
      </c>
      <c r="G183">
        <f t="shared" si="12"/>
        <v>0.66911023517881596</v>
      </c>
      <c r="H183">
        <f t="shared" si="13"/>
        <v>1</v>
      </c>
      <c r="I183">
        <f t="shared" si="14"/>
        <v>1</v>
      </c>
      <c r="J183">
        <f t="shared" si="15"/>
        <v>0</v>
      </c>
      <c r="K183">
        <f t="shared" si="16"/>
        <v>0</v>
      </c>
      <c r="L183">
        <f t="shared" si="17"/>
        <v>0</v>
      </c>
    </row>
    <row r="184" spans="1:12" x14ac:dyDescent="0.3">
      <c r="A184" s="6">
        <v>1</v>
      </c>
      <c r="B184" s="1">
        <v>11.7</v>
      </c>
      <c r="C184" s="1">
        <v>5</v>
      </c>
      <c r="D184" s="1">
        <v>6.5</v>
      </c>
      <c r="E184" s="1">
        <v>366.9</v>
      </c>
      <c r="F184">
        <v>0.82691824826220017</v>
      </c>
      <c r="G184">
        <f t="shared" si="12"/>
        <v>0.69570291559519948</v>
      </c>
      <c r="H184">
        <f t="shared" si="13"/>
        <v>1</v>
      </c>
      <c r="I184">
        <f t="shared" si="14"/>
        <v>1</v>
      </c>
      <c r="J184">
        <f t="shared" si="15"/>
        <v>0</v>
      </c>
      <c r="K184">
        <f t="shared" si="16"/>
        <v>0</v>
      </c>
      <c r="L184">
        <f t="shared" si="17"/>
        <v>0</v>
      </c>
    </row>
    <row r="185" spans="1:12" x14ac:dyDescent="0.3">
      <c r="A185" s="6">
        <v>1</v>
      </c>
      <c r="B185" s="1">
        <v>14.7</v>
      </c>
      <c r="C185" s="1">
        <v>13.4</v>
      </c>
      <c r="D185" s="1">
        <v>17.600000000000001</v>
      </c>
      <c r="E185" s="1">
        <v>778</v>
      </c>
      <c r="F185">
        <v>2.0543432333640008</v>
      </c>
      <c r="G185">
        <f t="shared" si="12"/>
        <v>0.88638574318468577</v>
      </c>
      <c r="H185">
        <f t="shared" si="13"/>
        <v>1</v>
      </c>
      <c r="I185">
        <f t="shared" si="14"/>
        <v>1</v>
      </c>
      <c r="J185">
        <f t="shared" si="15"/>
        <v>0</v>
      </c>
      <c r="K185">
        <f t="shared" si="16"/>
        <v>0</v>
      </c>
      <c r="L185">
        <f t="shared" si="17"/>
        <v>0</v>
      </c>
    </row>
    <row r="186" spans="1:12" x14ac:dyDescent="0.3">
      <c r="A186" s="6">
        <v>1</v>
      </c>
      <c r="B186" s="1">
        <v>17.2</v>
      </c>
      <c r="C186" s="1">
        <v>18.3</v>
      </c>
      <c r="D186" s="1">
        <v>17.2</v>
      </c>
      <c r="E186" s="1">
        <v>744.7</v>
      </c>
      <c r="F186">
        <v>1.8762365572586002</v>
      </c>
      <c r="G186">
        <f t="shared" si="12"/>
        <v>0.86717825130840231</v>
      </c>
      <c r="H186">
        <f t="shared" si="13"/>
        <v>1</v>
      </c>
      <c r="I186">
        <f t="shared" si="14"/>
        <v>1</v>
      </c>
      <c r="J186">
        <f t="shared" si="15"/>
        <v>0</v>
      </c>
      <c r="K186">
        <f t="shared" si="16"/>
        <v>0</v>
      </c>
      <c r="L186">
        <f t="shared" si="17"/>
        <v>0</v>
      </c>
    </row>
    <row r="187" spans="1:12" x14ac:dyDescent="0.3">
      <c r="A187" s="6">
        <v>1</v>
      </c>
      <c r="B187" s="1">
        <v>18.7</v>
      </c>
      <c r="C187" s="1">
        <v>16.100000000000001</v>
      </c>
      <c r="D187" s="1">
        <v>24.4</v>
      </c>
      <c r="E187" s="1">
        <v>222.3</v>
      </c>
      <c r="F187">
        <v>2.3988389464874005</v>
      </c>
      <c r="G187">
        <f t="shared" si="12"/>
        <v>0.91673872451294225</v>
      </c>
      <c r="H187">
        <f t="shared" si="13"/>
        <v>1</v>
      </c>
      <c r="I187">
        <f t="shared" si="14"/>
        <v>1</v>
      </c>
      <c r="J187">
        <f t="shared" si="15"/>
        <v>0</v>
      </c>
      <c r="K187">
        <f t="shared" si="16"/>
        <v>0</v>
      </c>
      <c r="L187">
        <f t="shared" si="17"/>
        <v>0</v>
      </c>
    </row>
    <row r="188" spans="1:12" x14ac:dyDescent="0.3">
      <c r="A188" s="6">
        <v>1</v>
      </c>
      <c r="B188" s="1">
        <v>8.6999999999999993</v>
      </c>
      <c r="C188" s="1">
        <v>10.1</v>
      </c>
      <c r="D188" s="1">
        <v>16.2</v>
      </c>
      <c r="E188" s="1">
        <v>620.5</v>
      </c>
      <c r="F188">
        <v>2.6985163405790002</v>
      </c>
      <c r="G188">
        <f t="shared" si="12"/>
        <v>0.93693903980812798</v>
      </c>
      <c r="H188">
        <f t="shared" si="13"/>
        <v>1</v>
      </c>
      <c r="I188">
        <f t="shared" si="14"/>
        <v>1</v>
      </c>
      <c r="J188">
        <f t="shared" si="15"/>
        <v>0</v>
      </c>
      <c r="K188">
        <f t="shared" si="16"/>
        <v>0</v>
      </c>
      <c r="L188">
        <f t="shared" si="17"/>
        <v>0</v>
      </c>
    </row>
    <row r="189" spans="1:12" x14ac:dyDescent="0.3">
      <c r="A189" s="6">
        <v>1</v>
      </c>
      <c r="B189" s="1">
        <v>13.5</v>
      </c>
      <c r="C189" s="1">
        <v>14.4</v>
      </c>
      <c r="D189" s="1">
        <v>22.9</v>
      </c>
      <c r="E189" s="1">
        <v>470</v>
      </c>
      <c r="F189">
        <v>2.9504594002599998</v>
      </c>
      <c r="G189">
        <f t="shared" si="12"/>
        <v>0.95028519648918952</v>
      </c>
      <c r="H189">
        <f t="shared" si="13"/>
        <v>1</v>
      </c>
      <c r="I189">
        <f t="shared" si="14"/>
        <v>1</v>
      </c>
      <c r="J189">
        <f t="shared" si="15"/>
        <v>0</v>
      </c>
      <c r="K189">
        <f t="shared" si="16"/>
        <v>0</v>
      </c>
      <c r="L189">
        <f t="shared" si="17"/>
        <v>0</v>
      </c>
    </row>
    <row r="190" spans="1:12" x14ac:dyDescent="0.3">
      <c r="A190" s="6">
        <v>0</v>
      </c>
      <c r="B190" s="1">
        <v>31.6</v>
      </c>
      <c r="C190" s="1">
        <v>9</v>
      </c>
      <c r="D190" s="1">
        <v>3</v>
      </c>
      <c r="E190" s="1">
        <v>439.4</v>
      </c>
      <c r="F190">
        <v>-2.596147020982801</v>
      </c>
      <c r="G190">
        <f t="shared" si="12"/>
        <v>6.9386803553496357E-2</v>
      </c>
      <c r="H190">
        <f t="shared" si="13"/>
        <v>0</v>
      </c>
      <c r="I190">
        <f t="shared" si="14"/>
        <v>0</v>
      </c>
      <c r="J190">
        <f t="shared" si="15"/>
        <v>1</v>
      </c>
      <c r="K190">
        <f t="shared" si="16"/>
        <v>0</v>
      </c>
      <c r="L190">
        <f t="shared" si="17"/>
        <v>0</v>
      </c>
    </row>
    <row r="191" spans="1:12" x14ac:dyDescent="0.3">
      <c r="A191" s="6">
        <v>1</v>
      </c>
      <c r="B191" s="1">
        <v>6.6</v>
      </c>
      <c r="C191" s="1">
        <v>18.7</v>
      </c>
      <c r="D191" s="1">
        <v>14.6</v>
      </c>
      <c r="E191" s="1">
        <v>736.3</v>
      </c>
      <c r="F191">
        <v>3.3177303478194</v>
      </c>
      <c r="G191">
        <f t="shared" si="12"/>
        <v>0.96503208247224004</v>
      </c>
      <c r="H191">
        <f t="shared" si="13"/>
        <v>1</v>
      </c>
      <c r="I191">
        <f t="shared" si="14"/>
        <v>1</v>
      </c>
      <c r="J191">
        <f t="shared" si="15"/>
        <v>0</v>
      </c>
      <c r="K191">
        <f t="shared" si="16"/>
        <v>0</v>
      </c>
      <c r="L191">
        <f t="shared" si="17"/>
        <v>0</v>
      </c>
    </row>
    <row r="192" spans="1:12" x14ac:dyDescent="0.3">
      <c r="A192" s="6">
        <v>0</v>
      </c>
      <c r="B192" s="1">
        <v>17</v>
      </c>
      <c r="C192" s="1">
        <v>15.1</v>
      </c>
      <c r="D192" s="1">
        <v>7</v>
      </c>
      <c r="E192" s="1">
        <v>782.4</v>
      </c>
      <c r="F192">
        <v>0.54263289405119974</v>
      </c>
      <c r="G192">
        <f t="shared" si="12"/>
        <v>0.63242468315648392</v>
      </c>
      <c r="H192">
        <f t="shared" si="13"/>
        <v>1</v>
      </c>
      <c r="I192">
        <f t="shared" si="14"/>
        <v>0</v>
      </c>
      <c r="J192">
        <f t="shared" si="15"/>
        <v>0</v>
      </c>
      <c r="K192">
        <f t="shared" si="16"/>
        <v>1</v>
      </c>
      <c r="L192">
        <f t="shared" si="17"/>
        <v>0</v>
      </c>
    </row>
    <row r="193" spans="1:12" x14ac:dyDescent="0.3">
      <c r="A193" s="6">
        <v>1</v>
      </c>
      <c r="B193" s="1">
        <v>20.6</v>
      </c>
      <c r="C193" s="1">
        <v>19.7</v>
      </c>
      <c r="D193" s="1">
        <v>13.7</v>
      </c>
      <c r="E193" s="1">
        <v>863.9</v>
      </c>
      <c r="F193">
        <v>0.98332429294820012</v>
      </c>
      <c r="G193">
        <f t="shared" si="12"/>
        <v>0.72776733050348152</v>
      </c>
      <c r="H193">
        <f t="shared" si="13"/>
        <v>1</v>
      </c>
      <c r="I193">
        <f t="shared" si="14"/>
        <v>1</v>
      </c>
      <c r="J193">
        <f t="shared" si="15"/>
        <v>0</v>
      </c>
      <c r="K193">
        <f t="shared" si="16"/>
        <v>0</v>
      </c>
      <c r="L193">
        <f t="shared" si="17"/>
        <v>0</v>
      </c>
    </row>
    <row r="194" spans="1:12" x14ac:dyDescent="0.3">
      <c r="A194" s="6">
        <v>1</v>
      </c>
      <c r="B194" s="1">
        <v>10.199999999999999</v>
      </c>
      <c r="C194" s="1">
        <v>11.6</v>
      </c>
      <c r="D194" s="1">
        <v>7.6</v>
      </c>
      <c r="E194" s="1">
        <v>650.4</v>
      </c>
      <c r="F194">
        <v>1.5355622574351999</v>
      </c>
      <c r="G194">
        <f t="shared" si="12"/>
        <v>0.82281868174297734</v>
      </c>
      <c r="H194">
        <f t="shared" si="13"/>
        <v>1</v>
      </c>
      <c r="I194">
        <f t="shared" si="14"/>
        <v>1</v>
      </c>
      <c r="J194">
        <f t="shared" si="15"/>
        <v>0</v>
      </c>
      <c r="K194">
        <f t="shared" si="16"/>
        <v>0</v>
      </c>
      <c r="L194">
        <f t="shared" si="17"/>
        <v>0</v>
      </c>
    </row>
    <row r="195" spans="1:12" x14ac:dyDescent="0.3">
      <c r="A195" s="6">
        <v>1</v>
      </c>
      <c r="B195" s="1">
        <v>26.7</v>
      </c>
      <c r="C195" s="1">
        <v>15.9</v>
      </c>
      <c r="D195" s="1">
        <v>15.2</v>
      </c>
      <c r="E195" s="1">
        <v>773.8</v>
      </c>
      <c r="F195">
        <v>-3.3916884555599713E-2</v>
      </c>
      <c r="G195">
        <f t="shared" si="12"/>
        <v>0.49152159161051556</v>
      </c>
      <c r="H195">
        <f t="shared" si="13"/>
        <v>1</v>
      </c>
      <c r="I195">
        <f t="shared" si="14"/>
        <v>1</v>
      </c>
      <c r="J195">
        <f t="shared" si="15"/>
        <v>0</v>
      </c>
      <c r="K195">
        <f t="shared" si="16"/>
        <v>0</v>
      </c>
      <c r="L195">
        <f t="shared" si="17"/>
        <v>0</v>
      </c>
    </row>
    <row r="196" spans="1:12" x14ac:dyDescent="0.3">
      <c r="A196" s="6">
        <v>0</v>
      </c>
      <c r="B196" s="1">
        <v>13.7</v>
      </c>
      <c r="C196" s="1">
        <v>13.1</v>
      </c>
      <c r="D196" s="1">
        <v>12.5</v>
      </c>
      <c r="E196" s="1">
        <v>272.8</v>
      </c>
      <c r="F196">
        <v>1.6566692578064</v>
      </c>
      <c r="G196">
        <f t="shared" si="12"/>
        <v>0.83979038369980941</v>
      </c>
      <c r="H196">
        <f t="shared" si="13"/>
        <v>1</v>
      </c>
      <c r="I196">
        <f t="shared" si="14"/>
        <v>0</v>
      </c>
      <c r="J196">
        <f t="shared" si="15"/>
        <v>0</v>
      </c>
      <c r="K196">
        <f t="shared" si="16"/>
        <v>1</v>
      </c>
      <c r="L196">
        <f t="shared" si="17"/>
        <v>0</v>
      </c>
    </row>
    <row r="197" spans="1:12" x14ac:dyDescent="0.3">
      <c r="A197" s="6">
        <v>1</v>
      </c>
      <c r="B197" s="1">
        <v>14.8</v>
      </c>
      <c r="C197" s="1">
        <v>25.4</v>
      </c>
      <c r="D197" s="1">
        <v>27.3</v>
      </c>
      <c r="E197" s="1">
        <v>279.89999999999998</v>
      </c>
      <c r="F197">
        <v>3.8776264367562003</v>
      </c>
      <c r="G197">
        <f t="shared" si="12"/>
        <v>0.97971989666101866</v>
      </c>
      <c r="H197">
        <f t="shared" si="13"/>
        <v>1</v>
      </c>
      <c r="I197">
        <f t="shared" si="14"/>
        <v>1</v>
      </c>
      <c r="J197">
        <f t="shared" si="15"/>
        <v>0</v>
      </c>
      <c r="K197">
        <f t="shared" si="16"/>
        <v>0</v>
      </c>
      <c r="L197">
        <f t="shared" si="17"/>
        <v>0</v>
      </c>
    </row>
    <row r="198" spans="1:12" x14ac:dyDescent="0.3">
      <c r="A198" s="6">
        <v>1</v>
      </c>
      <c r="B198" s="1">
        <v>5.8</v>
      </c>
      <c r="C198" s="1">
        <v>22</v>
      </c>
      <c r="D198" s="1">
        <v>19.399999999999999</v>
      </c>
      <c r="E198" s="1">
        <v>208.7</v>
      </c>
      <c r="F198">
        <v>4.2394205872905992</v>
      </c>
      <c r="G198">
        <f t="shared" si="12"/>
        <v>0.98578892384859618</v>
      </c>
      <c r="H198">
        <f t="shared" si="13"/>
        <v>1</v>
      </c>
      <c r="I198">
        <f t="shared" si="14"/>
        <v>1</v>
      </c>
      <c r="J198">
        <f t="shared" si="15"/>
        <v>0</v>
      </c>
      <c r="K198">
        <f t="shared" si="16"/>
        <v>0</v>
      </c>
      <c r="L198">
        <f t="shared" si="17"/>
        <v>0</v>
      </c>
    </row>
    <row r="199" spans="1:12" x14ac:dyDescent="0.3">
      <c r="A199" s="6">
        <v>0</v>
      </c>
      <c r="B199" s="1">
        <v>12.2</v>
      </c>
      <c r="C199" s="1">
        <v>17.399999999999999</v>
      </c>
      <c r="D199" s="1">
        <v>17.399999999999999</v>
      </c>
      <c r="E199" s="1">
        <v>702</v>
      </c>
      <c r="F199">
        <v>2.6655412746760003</v>
      </c>
      <c r="G199">
        <f t="shared" si="12"/>
        <v>0.93496243188082917</v>
      </c>
      <c r="H199">
        <f t="shared" si="13"/>
        <v>1</v>
      </c>
      <c r="I199">
        <f t="shared" si="14"/>
        <v>0</v>
      </c>
      <c r="J199">
        <f t="shared" si="15"/>
        <v>0</v>
      </c>
      <c r="K199">
        <f t="shared" si="16"/>
        <v>1</v>
      </c>
      <c r="L199">
        <f t="shared" si="17"/>
        <v>0</v>
      </c>
    </row>
    <row r="200" spans="1:12" x14ac:dyDescent="0.3">
      <c r="A200" s="6">
        <v>1</v>
      </c>
      <c r="B200" s="1">
        <v>18.399999999999999</v>
      </c>
      <c r="C200" s="1">
        <v>24.5</v>
      </c>
      <c r="D200" s="1">
        <v>13.7</v>
      </c>
      <c r="E200" s="1">
        <v>417.6</v>
      </c>
      <c r="F200">
        <v>1.6494417461488002</v>
      </c>
      <c r="G200">
        <f t="shared" si="12"/>
        <v>0.83881558654624166</v>
      </c>
      <c r="H200">
        <f t="shared" si="13"/>
        <v>1</v>
      </c>
      <c r="I200">
        <f t="shared" si="14"/>
        <v>1</v>
      </c>
      <c r="J200">
        <f t="shared" si="15"/>
        <v>0</v>
      </c>
      <c r="K200">
        <f t="shared" si="16"/>
        <v>0</v>
      </c>
      <c r="L200">
        <f t="shared" si="17"/>
        <v>0</v>
      </c>
    </row>
    <row r="201" spans="1:12" x14ac:dyDescent="0.3">
      <c r="A201" s="6">
        <v>1</v>
      </c>
      <c r="B201" s="1">
        <v>14</v>
      </c>
      <c r="C201" s="1">
        <v>10.1</v>
      </c>
      <c r="D201" s="1">
        <v>13.2</v>
      </c>
      <c r="E201" s="1">
        <v>231.1</v>
      </c>
      <c r="F201">
        <v>1.5274968484617997</v>
      </c>
      <c r="G201">
        <f t="shared" si="12"/>
        <v>0.82163977802409016</v>
      </c>
      <c r="H201">
        <f t="shared" si="13"/>
        <v>1</v>
      </c>
      <c r="I201">
        <f t="shared" si="14"/>
        <v>1</v>
      </c>
      <c r="J201">
        <f t="shared" si="15"/>
        <v>0</v>
      </c>
      <c r="K201">
        <f t="shared" si="16"/>
        <v>0</v>
      </c>
      <c r="L201">
        <f t="shared" si="17"/>
        <v>0</v>
      </c>
    </row>
    <row r="202" spans="1:12" x14ac:dyDescent="0.3">
      <c r="A202" s="6">
        <v>1</v>
      </c>
      <c r="B202" s="1">
        <v>13</v>
      </c>
      <c r="C202" s="1">
        <v>5</v>
      </c>
      <c r="D202" s="1">
        <v>16.600000000000001</v>
      </c>
      <c r="E202" s="1">
        <v>233.1</v>
      </c>
      <c r="F202">
        <v>1.8027571685378001</v>
      </c>
      <c r="G202">
        <f t="shared" si="12"/>
        <v>0.85848423209620461</v>
      </c>
      <c r="H202">
        <f t="shared" si="13"/>
        <v>1</v>
      </c>
      <c r="I202">
        <f t="shared" si="14"/>
        <v>1</v>
      </c>
      <c r="J202">
        <f t="shared" si="15"/>
        <v>0</v>
      </c>
      <c r="K202">
        <f t="shared" si="16"/>
        <v>0</v>
      </c>
      <c r="L202">
        <f t="shared" si="17"/>
        <v>0</v>
      </c>
    </row>
    <row r="203" spans="1:12" x14ac:dyDescent="0.3">
      <c r="A203" s="6">
        <v>1</v>
      </c>
      <c r="B203" s="1">
        <v>17.7</v>
      </c>
      <c r="C203" s="1">
        <v>18.100000000000001</v>
      </c>
      <c r="D203" s="1">
        <v>20</v>
      </c>
      <c r="E203" s="1">
        <v>464.6</v>
      </c>
      <c r="F203">
        <v>2.1367585551347998</v>
      </c>
      <c r="G203">
        <f t="shared" si="12"/>
        <v>0.89442491522594969</v>
      </c>
      <c r="H203">
        <f t="shared" si="13"/>
        <v>1</v>
      </c>
      <c r="I203">
        <f t="shared" si="14"/>
        <v>1</v>
      </c>
      <c r="J203">
        <f t="shared" si="15"/>
        <v>0</v>
      </c>
      <c r="K203">
        <f t="shared" si="16"/>
        <v>0</v>
      </c>
      <c r="L203">
        <f t="shared" si="17"/>
        <v>0</v>
      </c>
    </row>
    <row r="204" spans="1:12" x14ac:dyDescent="0.3">
      <c r="A204" s="6">
        <v>1</v>
      </c>
      <c r="B204" s="1">
        <v>14.7</v>
      </c>
      <c r="C204" s="1">
        <v>17.100000000000001</v>
      </c>
      <c r="D204" s="1">
        <v>14.4</v>
      </c>
      <c r="E204" s="1">
        <v>252.4</v>
      </c>
      <c r="F204">
        <v>1.9383380089112006</v>
      </c>
      <c r="G204">
        <f t="shared" si="12"/>
        <v>0.87416944272920738</v>
      </c>
      <c r="H204">
        <f t="shared" si="13"/>
        <v>1</v>
      </c>
      <c r="I204">
        <f t="shared" si="14"/>
        <v>1</v>
      </c>
      <c r="J204">
        <f t="shared" si="15"/>
        <v>0</v>
      </c>
      <c r="K204">
        <f t="shared" si="16"/>
        <v>0</v>
      </c>
      <c r="L204">
        <f t="shared" si="17"/>
        <v>0</v>
      </c>
    </row>
    <row r="205" spans="1:12" x14ac:dyDescent="0.3">
      <c r="A205" s="6">
        <v>1</v>
      </c>
      <c r="B205" s="1">
        <v>26.7</v>
      </c>
      <c r="C205" s="1">
        <v>12.7</v>
      </c>
      <c r="D205" s="1">
        <v>15.6</v>
      </c>
      <c r="E205" s="1">
        <v>843.4</v>
      </c>
      <c r="F205">
        <v>-0.17117645423080008</v>
      </c>
      <c r="G205">
        <f t="shared" si="12"/>
        <v>0.45731007504250154</v>
      </c>
      <c r="H205">
        <f t="shared" si="13"/>
        <v>1</v>
      </c>
      <c r="I205">
        <f t="shared" si="14"/>
        <v>1</v>
      </c>
      <c r="J205">
        <f t="shared" si="15"/>
        <v>0</v>
      </c>
      <c r="K205">
        <f t="shared" si="16"/>
        <v>0</v>
      </c>
      <c r="L205">
        <f t="shared" si="17"/>
        <v>0</v>
      </c>
    </row>
    <row r="206" spans="1:12" x14ac:dyDescent="0.3">
      <c r="A206" s="6">
        <v>0</v>
      </c>
      <c r="B206" s="1">
        <v>14.6</v>
      </c>
      <c r="C206" s="1">
        <v>-1</v>
      </c>
      <c r="D206" s="1">
        <v>10.1</v>
      </c>
      <c r="E206" s="1">
        <v>880.7</v>
      </c>
      <c r="F206">
        <v>0.3926118654266002</v>
      </c>
      <c r="G206">
        <f t="shared" si="12"/>
        <v>0.59691129429058898</v>
      </c>
      <c r="H206">
        <f t="shared" si="13"/>
        <v>1</v>
      </c>
      <c r="I206">
        <f t="shared" si="14"/>
        <v>0</v>
      </c>
      <c r="J206">
        <f t="shared" si="15"/>
        <v>0</v>
      </c>
      <c r="K206">
        <f t="shared" si="16"/>
        <v>1</v>
      </c>
      <c r="L206">
        <f t="shared" si="17"/>
        <v>0</v>
      </c>
    </row>
    <row r="207" spans="1:12" x14ac:dyDescent="0.3">
      <c r="A207" s="6">
        <v>1</v>
      </c>
      <c r="B207" s="1">
        <v>6.5</v>
      </c>
      <c r="C207" s="1">
        <v>5.6</v>
      </c>
      <c r="D207" s="1">
        <v>13.2</v>
      </c>
      <c r="E207" s="1">
        <v>281.60000000000002</v>
      </c>
      <c r="F207">
        <v>2.4912192897807999</v>
      </c>
      <c r="G207">
        <f t="shared" si="12"/>
        <v>0.92352396246226254</v>
      </c>
      <c r="H207">
        <f t="shared" si="13"/>
        <v>1</v>
      </c>
      <c r="I207">
        <f t="shared" si="14"/>
        <v>1</v>
      </c>
      <c r="J207">
        <f t="shared" si="15"/>
        <v>0</v>
      </c>
      <c r="K207">
        <f t="shared" si="16"/>
        <v>0</v>
      </c>
      <c r="L207">
        <f t="shared" si="17"/>
        <v>0</v>
      </c>
    </row>
    <row r="208" spans="1:12" x14ac:dyDescent="0.3">
      <c r="A208" s="6">
        <v>1</v>
      </c>
      <c r="B208" s="1">
        <v>11.6</v>
      </c>
      <c r="C208" s="1">
        <v>15.4</v>
      </c>
      <c r="D208" s="1">
        <v>16.600000000000001</v>
      </c>
      <c r="E208" s="1">
        <v>185.4</v>
      </c>
      <c r="F208">
        <v>2.6097819485652005</v>
      </c>
      <c r="G208">
        <f t="shared" si="12"/>
        <v>0.93148848204603285</v>
      </c>
      <c r="H208">
        <f t="shared" si="13"/>
        <v>1</v>
      </c>
      <c r="I208">
        <f t="shared" si="14"/>
        <v>1</v>
      </c>
      <c r="J208">
        <f t="shared" si="15"/>
        <v>0</v>
      </c>
      <c r="K208">
        <f t="shared" si="16"/>
        <v>0</v>
      </c>
      <c r="L208">
        <f t="shared" si="17"/>
        <v>0</v>
      </c>
    </row>
    <row r="209" spans="1:12" x14ac:dyDescent="0.3">
      <c r="A209" s="6">
        <v>0</v>
      </c>
      <c r="B209" s="1">
        <v>20.7</v>
      </c>
      <c r="C209" s="1">
        <v>16.100000000000001</v>
      </c>
      <c r="D209" s="1">
        <v>10.6</v>
      </c>
      <c r="E209" s="1">
        <v>739.1</v>
      </c>
      <c r="F209">
        <v>0.41991578316580003</v>
      </c>
      <c r="G209">
        <f t="shared" si="12"/>
        <v>0.60346309734036097</v>
      </c>
      <c r="H209">
        <f t="shared" si="13"/>
        <v>1</v>
      </c>
      <c r="I209">
        <f t="shared" si="14"/>
        <v>0</v>
      </c>
      <c r="J209">
        <f t="shared" si="15"/>
        <v>0</v>
      </c>
      <c r="K209">
        <f t="shared" si="16"/>
        <v>1</v>
      </c>
      <c r="L209">
        <f t="shared" si="17"/>
        <v>0</v>
      </c>
    </row>
    <row r="210" spans="1:12" x14ac:dyDescent="0.3">
      <c r="A210" s="6">
        <v>1</v>
      </c>
      <c r="B210" s="1">
        <v>7.3</v>
      </c>
      <c r="C210" s="1">
        <v>23.9</v>
      </c>
      <c r="D210" s="1">
        <v>20.399999999999999</v>
      </c>
      <c r="E210" s="1">
        <v>811.3</v>
      </c>
      <c r="F210">
        <v>4.1584021508694002</v>
      </c>
      <c r="G210">
        <f t="shared" ref="G210:G216" si="18">+EXP(F210)/(1+EXP(F210))</f>
        <v>0.98460809778599001</v>
      </c>
      <c r="H210">
        <f t="shared" ref="H210:H216" si="19">+IF(G210&gt;0.45,1,0)</f>
        <v>1</v>
      </c>
      <c r="I210">
        <f t="shared" ref="I210:I216" si="20">+IF(AND(A210=1,H210=1),1,0)</f>
        <v>1</v>
      </c>
      <c r="J210">
        <f t="shared" ref="J210:J216" si="21">+IF(AND(A210=0,H210=0),1,0)</f>
        <v>0</v>
      </c>
      <c r="K210">
        <f t="shared" ref="K210:K216" si="22">+IF(AND(A210=0,H210=1),1,0)</f>
        <v>0</v>
      </c>
      <c r="L210">
        <f t="shared" ref="L210:L216" si="23">+IF(AND(A210=1,H210=0),1,0)</f>
        <v>0</v>
      </c>
    </row>
    <row r="211" spans="1:12" x14ac:dyDescent="0.3">
      <c r="A211" s="6">
        <v>1</v>
      </c>
      <c r="B211" s="1">
        <v>21.4</v>
      </c>
      <c r="C211" s="1">
        <v>5</v>
      </c>
      <c r="D211" s="1">
        <v>16.399999999999999</v>
      </c>
      <c r="E211" s="1">
        <v>247.6</v>
      </c>
      <c r="F211">
        <v>0.41450522868880002</v>
      </c>
      <c r="G211">
        <f t="shared" si="18"/>
        <v>0.60216765459107402</v>
      </c>
      <c r="H211">
        <f t="shared" si="19"/>
        <v>1</v>
      </c>
      <c r="I211">
        <f t="shared" si="20"/>
        <v>1</v>
      </c>
      <c r="J211">
        <f t="shared" si="21"/>
        <v>0</v>
      </c>
      <c r="K211">
        <f t="shared" si="22"/>
        <v>0</v>
      </c>
      <c r="L211">
        <f t="shared" si="23"/>
        <v>0</v>
      </c>
    </row>
    <row r="212" spans="1:12" x14ac:dyDescent="0.3">
      <c r="A212" s="6">
        <v>1</v>
      </c>
      <c r="B212" s="1">
        <v>21.6</v>
      </c>
      <c r="C212" s="1">
        <v>14.1</v>
      </c>
      <c r="D212" s="1">
        <v>5.6</v>
      </c>
      <c r="E212" s="1">
        <v>668.9</v>
      </c>
      <c r="F212">
        <v>-0.41102589906180009</v>
      </c>
      <c r="G212">
        <f t="shared" si="18"/>
        <v>0.39866615533140176</v>
      </c>
      <c r="H212">
        <f t="shared" si="19"/>
        <v>0</v>
      </c>
      <c r="I212">
        <f t="shared" si="20"/>
        <v>0</v>
      </c>
      <c r="J212">
        <f t="shared" si="21"/>
        <v>0</v>
      </c>
      <c r="K212">
        <f t="shared" si="22"/>
        <v>0</v>
      </c>
      <c r="L212">
        <f t="shared" si="23"/>
        <v>1</v>
      </c>
    </row>
    <row r="213" spans="1:12" x14ac:dyDescent="0.3">
      <c r="A213" s="6">
        <v>1</v>
      </c>
      <c r="B213" s="1">
        <v>14.5</v>
      </c>
      <c r="C213" s="1">
        <v>14.9</v>
      </c>
      <c r="D213" s="1">
        <v>13.4</v>
      </c>
      <c r="E213" s="1">
        <v>944.7</v>
      </c>
      <c r="F213">
        <v>1.6653690174586</v>
      </c>
      <c r="G213">
        <f t="shared" si="18"/>
        <v>0.84095741385832101</v>
      </c>
      <c r="H213">
        <f t="shared" si="19"/>
        <v>1</v>
      </c>
      <c r="I213">
        <f t="shared" si="20"/>
        <v>1</v>
      </c>
      <c r="J213">
        <f t="shared" si="21"/>
        <v>0</v>
      </c>
      <c r="K213">
        <f t="shared" si="22"/>
        <v>0</v>
      </c>
      <c r="L213">
        <f t="shared" si="23"/>
        <v>0</v>
      </c>
    </row>
    <row r="214" spans="1:12" x14ac:dyDescent="0.3">
      <c r="A214" s="6">
        <v>1</v>
      </c>
      <c r="B214" s="1">
        <v>24.3</v>
      </c>
      <c r="C214" s="1">
        <v>14.4</v>
      </c>
      <c r="D214" s="1">
        <v>16.2</v>
      </c>
      <c r="E214" s="1">
        <v>755.8</v>
      </c>
      <c r="F214">
        <v>0.39070917436039987</v>
      </c>
      <c r="G214">
        <f t="shared" si="18"/>
        <v>0.59645340692327242</v>
      </c>
      <c r="H214">
        <f t="shared" si="19"/>
        <v>1</v>
      </c>
      <c r="I214">
        <f t="shared" si="20"/>
        <v>1</v>
      </c>
      <c r="J214">
        <f t="shared" si="21"/>
        <v>0</v>
      </c>
      <c r="K214">
        <f t="shared" si="22"/>
        <v>0</v>
      </c>
      <c r="L214">
        <f t="shared" si="23"/>
        <v>0</v>
      </c>
    </row>
    <row r="215" spans="1:12" x14ac:dyDescent="0.3">
      <c r="A215" s="6">
        <v>1</v>
      </c>
      <c r="B215" s="1">
        <v>11.6</v>
      </c>
      <c r="C215" s="1">
        <v>7</v>
      </c>
      <c r="D215" s="1">
        <v>17.899999999999999</v>
      </c>
      <c r="E215" s="1">
        <v>743.3</v>
      </c>
      <c r="F215">
        <v>2.2419156774853999</v>
      </c>
      <c r="G215">
        <f t="shared" si="18"/>
        <v>0.90395091317796727</v>
      </c>
      <c r="H215">
        <f t="shared" si="19"/>
        <v>1</v>
      </c>
      <c r="I215">
        <f t="shared" si="20"/>
        <v>1</v>
      </c>
      <c r="J215">
        <f t="shared" si="21"/>
        <v>0</v>
      </c>
      <c r="K215">
        <f t="shared" si="22"/>
        <v>0</v>
      </c>
      <c r="L215">
        <f t="shared" si="23"/>
        <v>0</v>
      </c>
    </row>
    <row r="216" spans="1:12" x14ac:dyDescent="0.3">
      <c r="A216" s="6">
        <v>1</v>
      </c>
      <c r="B216" s="1">
        <v>23.1</v>
      </c>
      <c r="C216" s="1">
        <v>13.7</v>
      </c>
      <c r="D216" s="1">
        <v>1.7</v>
      </c>
      <c r="E216" s="1">
        <v>510.4</v>
      </c>
      <c r="F216">
        <v>-1.1144314162848006</v>
      </c>
      <c r="G216">
        <f t="shared" si="18"/>
        <v>0.2470456589551564</v>
      </c>
      <c r="H216">
        <f t="shared" si="19"/>
        <v>0</v>
      </c>
      <c r="I216">
        <f t="shared" si="20"/>
        <v>0</v>
      </c>
      <c r="J216">
        <f t="shared" si="21"/>
        <v>0</v>
      </c>
      <c r="K216">
        <f t="shared" si="22"/>
        <v>0</v>
      </c>
      <c r="L216">
        <f t="shared" si="23"/>
        <v>1</v>
      </c>
    </row>
  </sheetData>
  <mergeCells count="1">
    <mergeCell ref="I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DAMIAN CASAMEN ARIZO</dc:creator>
  <cp:lastModifiedBy>JORDAN DAMIAN CASAMEN ARIZO</cp:lastModifiedBy>
  <dcterms:created xsi:type="dcterms:W3CDTF">2026-03-20T20:08:46Z</dcterms:created>
  <dcterms:modified xsi:type="dcterms:W3CDTF">2026-03-20T20:09:28Z</dcterms:modified>
</cp:coreProperties>
</file>