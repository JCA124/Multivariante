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da\Desktop\"/>
    </mc:Choice>
  </mc:AlternateContent>
  <xr:revisionPtr revIDLastSave="0" documentId="8_{DD3D081B-7E5D-4880-886A-0414E1F75342}" xr6:coauthVersionLast="47" xr6:coauthVersionMax="47" xr10:uidLastSave="{00000000-0000-0000-0000-000000000000}"/>
  <bookViews>
    <workbookView xWindow="-108" yWindow="-108" windowWidth="23256" windowHeight="12456" xr2:uid="{5905E4A1-3E2A-424D-8F35-C26E2F47B3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5" i="1" l="1"/>
  <c r="C105" i="1" s="1"/>
  <c r="B104" i="1"/>
  <c r="B106" i="1" s="1"/>
  <c r="B94" i="1"/>
  <c r="B96" i="1" s="1"/>
  <c r="C95" i="1" s="1"/>
  <c r="B81" i="1"/>
  <c r="C80" i="1"/>
  <c r="C79" i="1"/>
  <c r="B84" i="1" s="1"/>
  <c r="B67" i="1"/>
  <c r="C66" i="1" s="1"/>
  <c r="C65" i="1"/>
  <c r="D44" i="1"/>
  <c r="E38" i="1"/>
  <c r="E44" i="1" s="1"/>
  <c r="F37" i="1"/>
  <c r="E37" i="1"/>
  <c r="D37" i="1"/>
  <c r="C37" i="1"/>
  <c r="C44" i="1" s="1"/>
  <c r="B37" i="1"/>
  <c r="B44" i="1" s="1"/>
  <c r="F36" i="1"/>
  <c r="E36" i="1"/>
  <c r="E43" i="1" s="1"/>
  <c r="D36" i="1"/>
  <c r="D38" i="1" s="1"/>
  <c r="C36" i="1"/>
  <c r="C38" i="1" s="1"/>
  <c r="B36" i="1"/>
  <c r="B38" i="1" s="1"/>
  <c r="B27" i="1"/>
  <c r="B26" i="1"/>
  <c r="B70" i="1" l="1"/>
  <c r="B50" i="1"/>
  <c r="C50" i="1"/>
  <c r="F43" i="1"/>
  <c r="C26" i="1"/>
  <c r="D50" i="1"/>
  <c r="B43" i="1"/>
  <c r="B28" i="1"/>
  <c r="E50" i="1" s="1"/>
  <c r="F38" i="1"/>
  <c r="F44" i="1" s="1"/>
  <c r="C104" i="1"/>
  <c r="C107" i="1" s="1"/>
  <c r="C43" i="1"/>
  <c r="D43" i="1"/>
  <c r="C94" i="1"/>
  <c r="C99" i="1" s="1"/>
  <c r="B31" i="1" l="1"/>
  <c r="C110" i="1"/>
  <c r="F50" i="1"/>
  <c r="C27" i="1"/>
  <c r="B55" i="1" l="1"/>
  <c r="C55" i="1"/>
</calcChain>
</file>

<file path=xl/sharedStrings.xml><?xml version="1.0" encoding="utf-8"?>
<sst xmlns="http://schemas.openxmlformats.org/spreadsheetml/2006/main" count="279" uniqueCount="41">
  <si>
    <t>Pagador</t>
  </si>
  <si>
    <t>Edad</t>
  </si>
  <si>
    <t>Educación</t>
  </si>
  <si>
    <t>Ingreso</t>
  </si>
  <si>
    <t>Casa</t>
  </si>
  <si>
    <t>Vehículo</t>
  </si>
  <si>
    <t>Atrasos</t>
  </si>
  <si>
    <t>buen</t>
  </si>
  <si>
    <t>postgrado</t>
  </si>
  <si>
    <t>alto</t>
  </si>
  <si>
    <t>si</t>
  </si>
  <si>
    <t>no</t>
  </si>
  <si>
    <t>bajo</t>
  </si>
  <si>
    <t>medio</t>
  </si>
  <si>
    <t>secundaria</t>
  </si>
  <si>
    <t>universidad</t>
  </si>
  <si>
    <t>mal</t>
  </si>
  <si>
    <t>Pregunta 1: La entropia en el nodo inicial H(pagador) es</t>
  </si>
  <si>
    <t>casos</t>
  </si>
  <si>
    <t>pc*log2(pc)</t>
  </si>
  <si>
    <t>Total</t>
  </si>
  <si>
    <t>H(P)= - sum[pc*log2(pc)]</t>
  </si>
  <si>
    <t>H(P)</t>
  </si>
  <si>
    <t>&lt;-Respuesta</t>
  </si>
  <si>
    <t>Pregunta 2 y 3: Si utiliza la variable atrasos para la primera particion, la ganancia  de informacion  G(atrasos) es y la G(eduacion) es</t>
  </si>
  <si>
    <t>atrasaso</t>
  </si>
  <si>
    <t>Educacion</t>
  </si>
  <si>
    <t>H(P_v)= - sum[pc*log2(pc)]</t>
  </si>
  <si>
    <t>|P_v|/|P|*H(P_v)</t>
  </si>
  <si>
    <t>G(P|A)=H(P|A)-sum[|P_v|*H(P_v)/|P|]</t>
  </si>
  <si>
    <t>atraso</t>
  </si>
  <si>
    <t>G(P|A)</t>
  </si>
  <si>
    <t>Pregunta 4. Si utiliza Educacion para la primera particion, la entropia H(Pagador/Educacion=postgrado, Ingreso=alto), es</t>
  </si>
  <si>
    <t>H(P|Educacion=postgrado,Ingreso=alto)</t>
  </si>
  <si>
    <t>Pregunta 5 Si e utiliza Educacion para la primera particion, la entropia H(Pagador/Educacion=postgrado,Ingreso=medio), es</t>
  </si>
  <si>
    <t>H(P|Educacion=postgrado,Ingreso=medio)</t>
  </si>
  <si>
    <t>Pregunta 6 Si se utiliza Educacion para la primera particion, la entropia H(pagador/Educacion=postgrado, Ingreso =bajo), es</t>
  </si>
  <si>
    <t>H(P|Educacion=postgrado,Ingreso=bajo)</t>
  </si>
  <si>
    <t>Pregunta 7 Si se utiliza Educacion para la primera particion, la ganancia de informacion G(Ingreso/Educacion=postgrado), es</t>
  </si>
  <si>
    <t>H(Pagador|Educacion=postgrado)</t>
  </si>
  <si>
    <t>G(Ingreso|Educacion=postgrado)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</si>
</sst>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horizontal="right"/>
    </xf>
    <xf numFmtId="0" fontId="0" fillId="3" borderId="0" xfId="0" applyFill="1" applyAlignment="1">
      <alignment horizontal="right"/>
    </xf>
    <xf numFmtId="0" fontId="1" fillId="4" borderId="0" xfId="0" applyFont="1" applyFill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5" borderId="0" xfId="0" applyFont="1" applyFill="1"/>
    <xf numFmtId="0" fontId="0" fillId="5" borderId="0" xfId="0" applyFill="1"/>
    <xf numFmtId="0" fontId="1" fillId="6" borderId="1" xfId="0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0" fontId="2" fillId="7" borderId="0" xfId="0" applyFont="1" applyFill="1"/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1" fillId="5" borderId="0" xfId="0" applyFont="1" applyFill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9" borderId="0" xfId="0" applyFont="1" applyFill="1" applyAlignment="1">
      <alignment horizontal="center" vertical="center" wrapText="1"/>
    </xf>
    <xf numFmtId="0" fontId="0" fillId="6" borderId="0" xfId="0" applyFill="1"/>
    <xf numFmtId="0" fontId="2" fillId="7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5" xfId="0" applyBorder="1" applyAlignment="1">
      <alignment horizontal="center"/>
    </xf>
    <xf numFmtId="0" fontId="1" fillId="4" borderId="6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/>
    </xf>
    <xf numFmtId="0" fontId="1" fillId="6" borderId="1" xfId="0" applyFont="1" applyFill="1" applyBorder="1" applyAlignment="1">
      <alignment horizontal="center" wrapText="1"/>
    </xf>
    <xf numFmtId="164" fontId="1" fillId="6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99C9F-A6A5-46B0-A397-32440F6E6012}">
  <dimension ref="A1:I110"/>
  <sheetViews>
    <sheetView tabSelected="1" topLeftCell="A44" workbookViewId="0">
      <selection activeCell="B43" sqref="B43"/>
    </sheetView>
  </sheetViews>
  <sheetFormatPr baseColWidth="10"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>
        <v>20</v>
      </c>
      <c r="C2" s="2" t="s">
        <v>8</v>
      </c>
      <c r="D2" s="2" t="s">
        <v>9</v>
      </c>
      <c r="E2" s="2" t="s">
        <v>10</v>
      </c>
      <c r="F2" s="2" t="s">
        <v>10</v>
      </c>
      <c r="G2" s="2" t="s">
        <v>11</v>
      </c>
    </row>
    <row r="3" spans="1:7" x14ac:dyDescent="0.3">
      <c r="A3" s="2" t="s">
        <v>7</v>
      </c>
      <c r="B3" s="2">
        <v>20</v>
      </c>
      <c r="C3" s="2" t="s">
        <v>8</v>
      </c>
      <c r="D3" s="2" t="s">
        <v>9</v>
      </c>
      <c r="E3" s="2" t="s">
        <v>11</v>
      </c>
      <c r="F3" s="2" t="s">
        <v>11</v>
      </c>
      <c r="G3" s="2" t="s">
        <v>10</v>
      </c>
    </row>
    <row r="4" spans="1:7" x14ac:dyDescent="0.3">
      <c r="A4" s="2" t="s">
        <v>7</v>
      </c>
      <c r="B4" s="2">
        <v>50</v>
      </c>
      <c r="C4" s="2" t="s">
        <v>8</v>
      </c>
      <c r="D4" s="2" t="s">
        <v>12</v>
      </c>
      <c r="E4" s="2" t="s">
        <v>11</v>
      </c>
      <c r="F4" s="2" t="s">
        <v>11</v>
      </c>
      <c r="G4" s="2" t="s">
        <v>11</v>
      </c>
    </row>
    <row r="5" spans="1:7" x14ac:dyDescent="0.3">
      <c r="A5" s="2" t="s">
        <v>7</v>
      </c>
      <c r="B5" s="2">
        <v>35</v>
      </c>
      <c r="C5" s="2" t="s">
        <v>8</v>
      </c>
      <c r="D5" s="2" t="s">
        <v>13</v>
      </c>
      <c r="E5" s="2" t="s">
        <v>11</v>
      </c>
      <c r="F5" s="2" t="s">
        <v>11</v>
      </c>
      <c r="G5" s="2" t="s">
        <v>10</v>
      </c>
    </row>
    <row r="6" spans="1:7" x14ac:dyDescent="0.3">
      <c r="A6" s="2" t="s">
        <v>7</v>
      </c>
      <c r="B6" s="2">
        <v>20</v>
      </c>
      <c r="C6" s="2" t="s">
        <v>14</v>
      </c>
      <c r="D6" s="2" t="s">
        <v>13</v>
      </c>
      <c r="E6" s="2" t="s">
        <v>10</v>
      </c>
      <c r="F6" s="2" t="s">
        <v>11</v>
      </c>
      <c r="G6" s="2" t="s">
        <v>11</v>
      </c>
    </row>
    <row r="7" spans="1:7" x14ac:dyDescent="0.3">
      <c r="A7" s="2" t="s">
        <v>7</v>
      </c>
      <c r="B7" s="2">
        <v>35</v>
      </c>
      <c r="C7" s="2" t="s">
        <v>14</v>
      </c>
      <c r="D7" s="2" t="s">
        <v>9</v>
      </c>
      <c r="E7" s="2" t="s">
        <v>10</v>
      </c>
      <c r="F7" s="2" t="s">
        <v>11</v>
      </c>
      <c r="G7" s="2" t="s">
        <v>11</v>
      </c>
    </row>
    <row r="8" spans="1:7" x14ac:dyDescent="0.3">
      <c r="A8" s="2" t="s">
        <v>7</v>
      </c>
      <c r="B8" s="2">
        <v>20</v>
      </c>
      <c r="C8" s="2" t="s">
        <v>14</v>
      </c>
      <c r="D8" s="2" t="s">
        <v>13</v>
      </c>
      <c r="E8" s="2" t="s">
        <v>11</v>
      </c>
      <c r="F8" s="2" t="s">
        <v>11</v>
      </c>
      <c r="G8" s="2" t="s">
        <v>11</v>
      </c>
    </row>
    <row r="9" spans="1:7" x14ac:dyDescent="0.3">
      <c r="A9" s="2" t="s">
        <v>7</v>
      </c>
      <c r="B9" s="2">
        <v>35</v>
      </c>
      <c r="C9" s="2" t="s">
        <v>15</v>
      </c>
      <c r="D9" s="2" t="s">
        <v>9</v>
      </c>
      <c r="E9" s="2" t="s">
        <v>10</v>
      </c>
      <c r="F9" s="2" t="s">
        <v>11</v>
      </c>
      <c r="G9" s="2" t="s">
        <v>11</v>
      </c>
    </row>
    <row r="10" spans="1:7" x14ac:dyDescent="0.3">
      <c r="A10" s="2" t="s">
        <v>7</v>
      </c>
      <c r="B10" s="2">
        <v>50</v>
      </c>
      <c r="C10" s="2" t="s">
        <v>15</v>
      </c>
      <c r="D10" s="2" t="s">
        <v>12</v>
      </c>
      <c r="E10" s="2" t="s">
        <v>11</v>
      </c>
      <c r="F10" s="2" t="s">
        <v>11</v>
      </c>
      <c r="G10" s="2" t="s">
        <v>10</v>
      </c>
    </row>
    <row r="11" spans="1:7" x14ac:dyDescent="0.3">
      <c r="A11" s="2" t="s">
        <v>7</v>
      </c>
      <c r="B11" s="2">
        <v>20</v>
      </c>
      <c r="C11" s="2" t="s">
        <v>15</v>
      </c>
      <c r="D11" s="2" t="s">
        <v>13</v>
      </c>
      <c r="E11" s="2" t="s">
        <v>10</v>
      </c>
      <c r="F11" s="2" t="s">
        <v>10</v>
      </c>
      <c r="G11" s="2" t="s">
        <v>10</v>
      </c>
    </row>
    <row r="12" spans="1:7" x14ac:dyDescent="0.3">
      <c r="A12" s="2" t="s">
        <v>7</v>
      </c>
      <c r="B12" s="2">
        <v>35</v>
      </c>
      <c r="C12" s="2" t="s">
        <v>8</v>
      </c>
      <c r="D12" s="2" t="s">
        <v>13</v>
      </c>
      <c r="E12" s="2" t="s">
        <v>11</v>
      </c>
      <c r="F12" s="2" t="s">
        <v>10</v>
      </c>
      <c r="G12" s="2" t="s">
        <v>11</v>
      </c>
    </row>
    <row r="13" spans="1:7" x14ac:dyDescent="0.3">
      <c r="A13" s="2" t="s">
        <v>7</v>
      </c>
      <c r="B13" s="2">
        <v>50</v>
      </c>
      <c r="C13" s="2" t="s">
        <v>14</v>
      </c>
      <c r="D13" s="2" t="s">
        <v>12</v>
      </c>
      <c r="E13" s="2" t="s">
        <v>11</v>
      </c>
      <c r="F13" s="2" t="s">
        <v>10</v>
      </c>
      <c r="G13" s="2" t="s">
        <v>10</v>
      </c>
    </row>
    <row r="14" spans="1:7" x14ac:dyDescent="0.3">
      <c r="A14" s="2" t="s">
        <v>7</v>
      </c>
      <c r="B14" s="2">
        <v>50</v>
      </c>
      <c r="C14" s="2" t="s">
        <v>14</v>
      </c>
      <c r="D14" s="2" t="s">
        <v>12</v>
      </c>
      <c r="E14" s="2" t="s">
        <v>11</v>
      </c>
      <c r="F14" s="2" t="s">
        <v>10</v>
      </c>
      <c r="G14" s="2" t="s">
        <v>10</v>
      </c>
    </row>
    <row r="15" spans="1:7" x14ac:dyDescent="0.3">
      <c r="A15" s="2" t="s">
        <v>16</v>
      </c>
      <c r="B15" s="2">
        <v>50</v>
      </c>
      <c r="C15" s="2" t="s">
        <v>8</v>
      </c>
      <c r="D15" s="2" t="s">
        <v>12</v>
      </c>
      <c r="E15" s="2" t="s">
        <v>11</v>
      </c>
      <c r="F15" s="2" t="s">
        <v>11</v>
      </c>
      <c r="G15" s="2" t="s">
        <v>10</v>
      </c>
    </row>
    <row r="16" spans="1:7" x14ac:dyDescent="0.3">
      <c r="A16" s="2" t="s">
        <v>16</v>
      </c>
      <c r="B16" s="2">
        <v>50</v>
      </c>
      <c r="C16" s="2" t="s">
        <v>8</v>
      </c>
      <c r="D16" s="2" t="s">
        <v>12</v>
      </c>
      <c r="E16" s="2" t="s">
        <v>11</v>
      </c>
      <c r="F16" s="2" t="s">
        <v>10</v>
      </c>
      <c r="G16" s="2" t="s">
        <v>11</v>
      </c>
    </row>
    <row r="17" spans="1:9" x14ac:dyDescent="0.3">
      <c r="A17" s="2" t="s">
        <v>16</v>
      </c>
      <c r="B17" s="2">
        <v>35</v>
      </c>
      <c r="C17" s="2" t="s">
        <v>8</v>
      </c>
      <c r="D17" s="2" t="s">
        <v>9</v>
      </c>
      <c r="E17" s="2" t="s">
        <v>10</v>
      </c>
      <c r="F17" s="2" t="s">
        <v>11</v>
      </c>
      <c r="G17" s="2" t="s">
        <v>10</v>
      </c>
    </row>
    <row r="18" spans="1:9" x14ac:dyDescent="0.3">
      <c r="A18" s="2" t="s">
        <v>16</v>
      </c>
      <c r="B18" s="2">
        <v>50</v>
      </c>
      <c r="C18" s="2" t="s">
        <v>15</v>
      </c>
      <c r="D18" s="2" t="s">
        <v>13</v>
      </c>
      <c r="E18" s="2" t="s">
        <v>10</v>
      </c>
      <c r="F18" s="2" t="s">
        <v>11</v>
      </c>
      <c r="G18" s="2" t="s">
        <v>10</v>
      </c>
    </row>
    <row r="19" spans="1:9" x14ac:dyDescent="0.3">
      <c r="A19" s="2" t="s">
        <v>16</v>
      </c>
      <c r="B19" s="2">
        <v>20</v>
      </c>
      <c r="C19" s="2" t="s">
        <v>15</v>
      </c>
      <c r="D19" s="2" t="s">
        <v>13</v>
      </c>
      <c r="E19" s="2" t="s">
        <v>11</v>
      </c>
      <c r="F19" s="2" t="s">
        <v>11</v>
      </c>
      <c r="G19" s="2" t="s">
        <v>10</v>
      </c>
    </row>
    <row r="20" spans="1:9" x14ac:dyDescent="0.3">
      <c r="A20" s="2" t="s">
        <v>16</v>
      </c>
      <c r="B20" s="2">
        <v>50</v>
      </c>
      <c r="C20" s="2" t="s">
        <v>15</v>
      </c>
      <c r="D20" s="2" t="s">
        <v>9</v>
      </c>
      <c r="E20" s="2" t="s">
        <v>10</v>
      </c>
      <c r="F20" s="2" t="s">
        <v>10</v>
      </c>
      <c r="G20" s="2" t="s">
        <v>10</v>
      </c>
    </row>
    <row r="21" spans="1:9" x14ac:dyDescent="0.3">
      <c r="A21" s="2" t="s">
        <v>16</v>
      </c>
      <c r="B21" s="2">
        <v>20</v>
      </c>
      <c r="C21" s="2" t="s">
        <v>15</v>
      </c>
      <c r="D21" s="2" t="s">
        <v>12</v>
      </c>
      <c r="E21" s="2" t="s">
        <v>11</v>
      </c>
      <c r="F21" s="2" t="s">
        <v>11</v>
      </c>
      <c r="G21" s="2" t="s">
        <v>10</v>
      </c>
    </row>
    <row r="23" spans="1:9" x14ac:dyDescent="0.3">
      <c r="A23" s="3" t="s">
        <v>17</v>
      </c>
      <c r="B23" s="3"/>
      <c r="C23" s="3"/>
      <c r="D23" s="3"/>
      <c r="E23" s="3"/>
      <c r="F23" s="3"/>
      <c r="G23" s="3"/>
      <c r="H23" s="3"/>
      <c r="I23" s="3"/>
    </row>
    <row r="25" spans="1:9" x14ac:dyDescent="0.3">
      <c r="A25" s="4"/>
      <c r="B25" s="5" t="s">
        <v>18</v>
      </c>
      <c r="C25" s="6" t="s">
        <v>19</v>
      </c>
    </row>
    <row r="26" spans="1:9" x14ac:dyDescent="0.3">
      <c r="A26" s="5" t="s">
        <v>7</v>
      </c>
      <c r="B26" s="7">
        <f>COUNTIF(A2:A21,A26)</f>
        <v>13</v>
      </c>
      <c r="C26" s="8">
        <f>B26/$B$28*LOG(B26/$B$28,2)</f>
        <v>-0.40396744488507558</v>
      </c>
    </row>
    <row r="27" spans="1:9" x14ac:dyDescent="0.3">
      <c r="A27" s="5" t="s">
        <v>16</v>
      </c>
      <c r="B27" s="7">
        <f>COUNTIF(A2:A21,A27)</f>
        <v>7</v>
      </c>
      <c r="C27" s="8">
        <f>B27/$B$28*LOG(B27/$B$28,2)</f>
        <v>-0.53010061049041546</v>
      </c>
    </row>
    <row r="28" spans="1:9" x14ac:dyDescent="0.3">
      <c r="A28" s="5" t="s">
        <v>20</v>
      </c>
      <c r="B28" s="7">
        <f>SUM(B26:B27)</f>
        <v>20</v>
      </c>
      <c r="C28" s="4"/>
    </row>
    <row r="29" spans="1:9" x14ac:dyDescent="0.3">
      <c r="C29" s="4"/>
    </row>
    <row r="30" spans="1:9" x14ac:dyDescent="0.3">
      <c r="A30" s="9" t="s">
        <v>21</v>
      </c>
      <c r="B30" s="10"/>
      <c r="C30" s="10"/>
    </row>
    <row r="31" spans="1:9" x14ac:dyDescent="0.3">
      <c r="A31" s="11" t="s">
        <v>22</v>
      </c>
      <c r="B31" s="12">
        <f>-SUM(C26:C27)</f>
        <v>0.93406805537549098</v>
      </c>
      <c r="C31" s="13" t="s">
        <v>23</v>
      </c>
    </row>
    <row r="33" spans="1:9" x14ac:dyDescent="0.3">
      <c r="A33" s="3" t="s">
        <v>24</v>
      </c>
      <c r="B33" s="3"/>
      <c r="C33" s="3"/>
      <c r="D33" s="3"/>
      <c r="E33" s="3"/>
      <c r="F33" s="3"/>
      <c r="G33" s="3"/>
      <c r="H33" s="3"/>
      <c r="I33" s="3"/>
    </row>
    <row r="34" spans="1:9" x14ac:dyDescent="0.3">
      <c r="B34" s="14" t="s">
        <v>25</v>
      </c>
      <c r="C34" s="14"/>
      <c r="D34" s="15" t="s">
        <v>26</v>
      </c>
      <c r="E34" s="15"/>
      <c r="F34" s="15"/>
    </row>
    <row r="35" spans="1:9" x14ac:dyDescent="0.3">
      <c r="A35" s="16" t="s">
        <v>0</v>
      </c>
      <c r="B35" s="16" t="s">
        <v>10</v>
      </c>
      <c r="C35" s="16" t="s">
        <v>11</v>
      </c>
      <c r="D35" s="17" t="s">
        <v>14</v>
      </c>
      <c r="E35" s="17" t="s">
        <v>15</v>
      </c>
      <c r="F35" s="16" t="s">
        <v>8</v>
      </c>
    </row>
    <row r="36" spans="1:9" x14ac:dyDescent="0.3">
      <c r="A36" s="16" t="s">
        <v>7</v>
      </c>
      <c r="B36" s="16">
        <f>COUNTIFS($A$2:$A$21,$A36,$G$2:$G$21,B$35)</f>
        <v>6</v>
      </c>
      <c r="C36" s="16">
        <f>COUNTIFS($A$2:$A$21,$A36,$G$2:$G$21,C$35)</f>
        <v>7</v>
      </c>
      <c r="D36" s="7">
        <f>COUNTIFS($A$2:$A$21,$A36,$C$2:$C$21,D$35)</f>
        <v>5</v>
      </c>
      <c r="E36" s="7">
        <f>COUNTIFS($A$2:$A$21,$A36,$C$2:$C$21,E$35)</f>
        <v>3</v>
      </c>
      <c r="F36" s="7">
        <f t="shared" ref="E36:G37" si="0">COUNTIFS($A$2:$A$21,$A36,$C$2:$C$21,F$35)</f>
        <v>5</v>
      </c>
    </row>
    <row r="37" spans="1:9" x14ac:dyDescent="0.3">
      <c r="A37" s="16" t="s">
        <v>16</v>
      </c>
      <c r="B37" s="16">
        <f>COUNTIFS($A$2:$A$21,$A37,$G$2:$G$21,B$35)</f>
        <v>6</v>
      </c>
      <c r="C37" s="16">
        <f>COUNTIFS($A$2:$A$21,$A37,$G$2:$G$21,C$35)</f>
        <v>1</v>
      </c>
      <c r="D37" s="7">
        <f>COUNTIFS($A$2:$A$21,$A37,$C$2:$C$21,D$35)</f>
        <v>0</v>
      </c>
      <c r="E37" s="7">
        <f t="shared" si="0"/>
        <v>4</v>
      </c>
      <c r="F37" s="7">
        <f t="shared" si="0"/>
        <v>3</v>
      </c>
    </row>
    <row r="38" spans="1:9" x14ac:dyDescent="0.3">
      <c r="B38" s="18">
        <f>SUM(B36:B37)</f>
        <v>12</v>
      </c>
      <c r="C38" s="18">
        <f>SUM(C36:C37)</f>
        <v>8</v>
      </c>
      <c r="D38" s="19">
        <f>SUM(D36:D37)</f>
        <v>5</v>
      </c>
      <c r="E38" s="19">
        <f t="shared" ref="E38:F38" si="1">SUM(E36:E37)</f>
        <v>7</v>
      </c>
      <c r="F38" s="19">
        <f t="shared" si="1"/>
        <v>8</v>
      </c>
    </row>
    <row r="40" spans="1:9" x14ac:dyDescent="0.3">
      <c r="A40" s="20" t="s">
        <v>19</v>
      </c>
    </row>
    <row r="41" spans="1:9" x14ac:dyDescent="0.3">
      <c r="B41" s="21" t="s">
        <v>25</v>
      </c>
      <c r="C41" s="21"/>
      <c r="D41" s="15" t="s">
        <v>26</v>
      </c>
      <c r="E41" s="15"/>
      <c r="F41" s="15"/>
    </row>
    <row r="42" spans="1:9" x14ac:dyDescent="0.3">
      <c r="A42" s="16" t="s">
        <v>0</v>
      </c>
      <c r="B42" s="16" t="s">
        <v>10</v>
      </c>
      <c r="C42" s="16" t="s">
        <v>11</v>
      </c>
      <c r="D42" s="22" t="s">
        <v>14</v>
      </c>
      <c r="E42" s="22" t="s">
        <v>15</v>
      </c>
      <c r="F42" s="16" t="s">
        <v>8</v>
      </c>
    </row>
    <row r="43" spans="1:9" x14ac:dyDescent="0.3">
      <c r="A43" s="16" t="s">
        <v>7</v>
      </c>
      <c r="B43">
        <f t="shared" ref="B43:F44" si="2">IF(B36&gt;0,B36/B$38*LOG(B36/B$38,2),"")</f>
        <v>-0.5</v>
      </c>
      <c r="C43">
        <f t="shared" si="2"/>
        <v>-0.16856444319959643</v>
      </c>
      <c r="D43">
        <f t="shared" si="2"/>
        <v>0</v>
      </c>
      <c r="E43">
        <f t="shared" si="2"/>
        <v>-0.52388246628704915</v>
      </c>
      <c r="F43">
        <f t="shared" si="2"/>
        <v>-0.42379494069539858</v>
      </c>
    </row>
    <row r="44" spans="1:9" x14ac:dyDescent="0.3">
      <c r="A44" s="16" t="s">
        <v>16</v>
      </c>
      <c r="B44">
        <f t="shared" si="2"/>
        <v>-0.5</v>
      </c>
      <c r="C44">
        <f t="shared" si="2"/>
        <v>-0.375</v>
      </c>
      <c r="D44" t="str">
        <f t="shared" si="2"/>
        <v/>
      </c>
      <c r="E44">
        <f t="shared" si="2"/>
        <v>-0.46134566974720242</v>
      </c>
      <c r="F44">
        <f t="shared" si="2"/>
        <v>-0.53063906222956636</v>
      </c>
    </row>
    <row r="46" spans="1:9" x14ac:dyDescent="0.3">
      <c r="A46" s="9" t="s">
        <v>27</v>
      </c>
      <c r="B46" s="10"/>
      <c r="C46" s="10"/>
    </row>
    <row r="48" spans="1:9" x14ac:dyDescent="0.3">
      <c r="B48" s="21" t="s">
        <v>25</v>
      </c>
      <c r="C48" s="21"/>
      <c r="D48" s="15" t="s">
        <v>26</v>
      </c>
      <c r="E48" s="15"/>
      <c r="F48" s="15"/>
    </row>
    <row r="49" spans="1:9" x14ac:dyDescent="0.3">
      <c r="A49" s="16" t="s">
        <v>0</v>
      </c>
      <c r="B49" s="16" t="s">
        <v>10</v>
      </c>
      <c r="C49" s="16" t="s">
        <v>11</v>
      </c>
      <c r="D49" s="22" t="s">
        <v>14</v>
      </c>
      <c r="E49" s="22" t="s">
        <v>15</v>
      </c>
      <c r="F49" s="16" t="s">
        <v>8</v>
      </c>
    </row>
    <row r="50" spans="1:9" ht="28.8" x14ac:dyDescent="0.3">
      <c r="A50" s="23" t="s">
        <v>28</v>
      </c>
      <c r="B50">
        <f>-B38*SUM(B43:B44)/$B$28</f>
        <v>0.6</v>
      </c>
      <c r="C50">
        <f t="shared" ref="C50:D50" si="3">-C38*SUM(C43:C44)/$B$28</f>
        <v>0.21742577727983856</v>
      </c>
      <c r="D50">
        <f t="shared" si="3"/>
        <v>0</v>
      </c>
      <c r="E50">
        <f>-E38*SUM(E43:E44)/$B$28</f>
        <v>0.34482984761198809</v>
      </c>
      <c r="F50">
        <f>-F38*SUM(F43:F44)/$B$28</f>
        <v>0.38177360116998599</v>
      </c>
    </row>
    <row r="51" spans="1:9" x14ac:dyDescent="0.3">
      <c r="A51" s="16"/>
    </row>
    <row r="53" spans="1:9" x14ac:dyDescent="0.3">
      <c r="A53" s="9" t="s">
        <v>29</v>
      </c>
      <c r="B53" s="9"/>
      <c r="C53" s="9"/>
    </row>
    <row r="54" spans="1:9" x14ac:dyDescent="0.3">
      <c r="A54" s="24"/>
      <c r="B54" s="11" t="s">
        <v>30</v>
      </c>
      <c r="C54" s="11" t="s">
        <v>26</v>
      </c>
      <c r="D54" s="25" t="s">
        <v>23</v>
      </c>
    </row>
    <row r="55" spans="1:9" x14ac:dyDescent="0.3">
      <c r="A55" s="26" t="s">
        <v>31</v>
      </c>
      <c r="B55" s="12">
        <f>B31-SUM(B50:C50)</f>
        <v>0.11664227809565242</v>
      </c>
      <c r="C55" s="12">
        <f>B31-SUM(D50:F50)</f>
        <v>0.20746460659351684</v>
      </c>
      <c r="D55" s="25"/>
    </row>
    <row r="57" spans="1:9" x14ac:dyDescent="0.3">
      <c r="A57" s="3" t="s">
        <v>32</v>
      </c>
      <c r="B57" s="3"/>
      <c r="C57" s="3"/>
      <c r="D57" s="3"/>
      <c r="E57" s="3"/>
      <c r="F57" s="3"/>
      <c r="G57" s="3"/>
      <c r="H57" s="3"/>
      <c r="I57" s="3"/>
    </row>
    <row r="59" spans="1:9" x14ac:dyDescent="0.3">
      <c r="A59" s="1" t="s">
        <v>0</v>
      </c>
      <c r="B59" s="1" t="s">
        <v>1</v>
      </c>
      <c r="C59" s="1" t="s">
        <v>2</v>
      </c>
      <c r="D59" s="1" t="s">
        <v>3</v>
      </c>
      <c r="E59" s="1" t="s">
        <v>4</v>
      </c>
      <c r="F59" s="1" t="s">
        <v>5</v>
      </c>
      <c r="G59" s="1" t="s">
        <v>6</v>
      </c>
    </row>
    <row r="60" spans="1:9" x14ac:dyDescent="0.3">
      <c r="A60" s="2" t="s">
        <v>7</v>
      </c>
      <c r="B60" s="2">
        <v>20</v>
      </c>
      <c r="C60" s="2" t="s">
        <v>8</v>
      </c>
      <c r="D60" s="2" t="s">
        <v>9</v>
      </c>
      <c r="E60" s="2" t="s">
        <v>10</v>
      </c>
      <c r="F60" s="2" t="s">
        <v>10</v>
      </c>
      <c r="G60" s="2" t="s">
        <v>11</v>
      </c>
    </row>
    <row r="61" spans="1:9" x14ac:dyDescent="0.3">
      <c r="A61" s="2" t="s">
        <v>7</v>
      </c>
      <c r="B61" s="2">
        <v>20</v>
      </c>
      <c r="C61" s="2" t="s">
        <v>8</v>
      </c>
      <c r="D61" s="2" t="s">
        <v>9</v>
      </c>
      <c r="E61" s="2" t="s">
        <v>11</v>
      </c>
      <c r="F61" s="2" t="s">
        <v>11</v>
      </c>
      <c r="G61" s="2" t="s">
        <v>10</v>
      </c>
    </row>
    <row r="62" spans="1:9" x14ac:dyDescent="0.3">
      <c r="A62" s="2" t="s">
        <v>16</v>
      </c>
      <c r="B62" s="2">
        <v>35</v>
      </c>
      <c r="C62" s="2" t="s">
        <v>8</v>
      </c>
      <c r="D62" s="2" t="s">
        <v>9</v>
      </c>
      <c r="E62" s="2" t="s">
        <v>10</v>
      </c>
      <c r="F62" s="2" t="s">
        <v>11</v>
      </c>
      <c r="G62" s="2" t="s">
        <v>10</v>
      </c>
    </row>
    <row r="64" spans="1:9" x14ac:dyDescent="0.3">
      <c r="A64" s="4"/>
      <c r="B64" s="5" t="s">
        <v>18</v>
      </c>
      <c r="C64" s="6" t="s">
        <v>19</v>
      </c>
    </row>
    <row r="65" spans="1:9" x14ac:dyDescent="0.3">
      <c r="A65" s="5" t="s">
        <v>7</v>
      </c>
      <c r="B65" s="7">
        <v>2</v>
      </c>
      <c r="C65" s="8">
        <f>B65/$B$67*LOG(B65/$B$67,2)</f>
        <v>-0.38997500048077083</v>
      </c>
    </row>
    <row r="66" spans="1:9" x14ac:dyDescent="0.3">
      <c r="A66" s="5" t="s">
        <v>16</v>
      </c>
      <c r="B66" s="7">
        <v>1</v>
      </c>
      <c r="C66" s="8">
        <f>B66/$B$67*LOG(B66/$B$67,2)</f>
        <v>-0.52832083357371873</v>
      </c>
    </row>
    <row r="67" spans="1:9" x14ac:dyDescent="0.3">
      <c r="A67" s="5" t="s">
        <v>20</v>
      </c>
      <c r="B67" s="7">
        <f>SUM(B65:B66)</f>
        <v>3</v>
      </c>
      <c r="C67" s="4"/>
    </row>
    <row r="69" spans="1:9" x14ac:dyDescent="0.3">
      <c r="A69" s="9" t="s">
        <v>21</v>
      </c>
      <c r="B69" s="10"/>
      <c r="C69" s="10"/>
    </row>
    <row r="70" spans="1:9" ht="57.6" x14ac:dyDescent="0.3">
      <c r="A70" s="27" t="s">
        <v>33</v>
      </c>
      <c r="B70" s="12">
        <f>-SUM(C65:C66)</f>
        <v>0.91829583405448956</v>
      </c>
      <c r="C70" s="28" t="s">
        <v>23</v>
      </c>
    </row>
    <row r="72" spans="1:9" x14ac:dyDescent="0.3">
      <c r="A72" s="3" t="s">
        <v>34</v>
      </c>
      <c r="B72" s="3"/>
      <c r="C72" s="3"/>
      <c r="D72" s="3"/>
      <c r="E72" s="3"/>
      <c r="F72" s="3"/>
      <c r="G72" s="3"/>
      <c r="H72" s="3"/>
      <c r="I72" s="3"/>
    </row>
    <row r="74" spans="1:9" x14ac:dyDescent="0.3">
      <c r="A74" s="1" t="s">
        <v>0</v>
      </c>
      <c r="B74" s="1" t="s">
        <v>1</v>
      </c>
      <c r="C74" s="1" t="s">
        <v>2</v>
      </c>
      <c r="D74" s="1" t="s">
        <v>3</v>
      </c>
      <c r="E74" s="1" t="s">
        <v>4</v>
      </c>
      <c r="F74" s="1" t="s">
        <v>5</v>
      </c>
      <c r="G74" s="1" t="s">
        <v>6</v>
      </c>
    </row>
    <row r="75" spans="1:9" x14ac:dyDescent="0.3">
      <c r="A75" s="2" t="s">
        <v>7</v>
      </c>
      <c r="B75" s="2">
        <v>35</v>
      </c>
      <c r="C75" s="2" t="s">
        <v>8</v>
      </c>
      <c r="D75" s="2" t="s">
        <v>13</v>
      </c>
      <c r="E75" s="2" t="s">
        <v>11</v>
      </c>
      <c r="F75" s="2" t="s">
        <v>11</v>
      </c>
      <c r="G75" s="2" t="s">
        <v>10</v>
      </c>
    </row>
    <row r="76" spans="1:9" x14ac:dyDescent="0.3">
      <c r="A76" s="2" t="s">
        <v>7</v>
      </c>
      <c r="B76" s="2">
        <v>35</v>
      </c>
      <c r="C76" s="2" t="s">
        <v>8</v>
      </c>
      <c r="D76" s="2" t="s">
        <v>13</v>
      </c>
      <c r="E76" s="2" t="s">
        <v>11</v>
      </c>
      <c r="F76" s="2" t="s">
        <v>10</v>
      </c>
      <c r="G76" s="2" t="s">
        <v>11</v>
      </c>
    </row>
    <row r="78" spans="1:9" x14ac:dyDescent="0.3">
      <c r="A78" s="4"/>
      <c r="B78" s="5" t="s">
        <v>18</v>
      </c>
      <c r="C78" s="6" t="s">
        <v>19</v>
      </c>
    </row>
    <row r="79" spans="1:9" x14ac:dyDescent="0.3">
      <c r="A79" s="5" t="s">
        <v>7</v>
      </c>
      <c r="B79" s="7">
        <v>2</v>
      </c>
      <c r="C79" s="8">
        <f>B79/$B$81*LOG(B79/$B$81,2)</f>
        <v>0</v>
      </c>
    </row>
    <row r="80" spans="1:9" x14ac:dyDescent="0.3">
      <c r="A80" s="5" t="s">
        <v>16</v>
      </c>
      <c r="B80" s="7">
        <v>0</v>
      </c>
      <c r="C80" s="8" t="str">
        <f>""</f>
        <v/>
      </c>
    </row>
    <row r="81" spans="1:9" x14ac:dyDescent="0.3">
      <c r="A81" s="5" t="s">
        <v>20</v>
      </c>
      <c r="B81" s="7">
        <f>SUM(B79:B80)</f>
        <v>2</v>
      </c>
      <c r="C81" s="4"/>
    </row>
    <row r="83" spans="1:9" x14ac:dyDescent="0.3">
      <c r="A83" s="9" t="s">
        <v>21</v>
      </c>
      <c r="B83" s="10"/>
      <c r="C83" s="10"/>
    </row>
    <row r="84" spans="1:9" ht="57.6" x14ac:dyDescent="0.3">
      <c r="A84" s="27" t="s">
        <v>35</v>
      </c>
      <c r="B84" s="11">
        <f>-SUM(C79:C80)</f>
        <v>0</v>
      </c>
      <c r="C84" s="28" t="s">
        <v>23</v>
      </c>
    </row>
    <row r="86" spans="1:9" x14ac:dyDescent="0.3">
      <c r="A86" s="3" t="s">
        <v>36</v>
      </c>
      <c r="B86" s="3"/>
      <c r="C86" s="3"/>
      <c r="D86" s="3"/>
      <c r="E86" s="3"/>
      <c r="F86" s="3"/>
      <c r="G86" s="3"/>
      <c r="H86" s="3"/>
      <c r="I86" s="3"/>
    </row>
    <row r="88" spans="1:9" x14ac:dyDescent="0.3">
      <c r="A88" s="1" t="s">
        <v>0</v>
      </c>
      <c r="B88" s="1" t="s">
        <v>1</v>
      </c>
      <c r="C88" s="1" t="s">
        <v>2</v>
      </c>
      <c r="D88" s="1" t="s">
        <v>3</v>
      </c>
      <c r="E88" s="1" t="s">
        <v>4</v>
      </c>
      <c r="F88" s="1" t="s">
        <v>5</v>
      </c>
      <c r="G88" s="1" t="s">
        <v>6</v>
      </c>
    </row>
    <row r="89" spans="1:9" x14ac:dyDescent="0.3">
      <c r="A89" s="2" t="s">
        <v>7</v>
      </c>
      <c r="B89" s="2">
        <v>50</v>
      </c>
      <c r="C89" s="2" t="s">
        <v>8</v>
      </c>
      <c r="D89" s="2" t="s">
        <v>12</v>
      </c>
      <c r="E89" s="2" t="s">
        <v>11</v>
      </c>
      <c r="F89" s="2" t="s">
        <v>11</v>
      </c>
      <c r="G89" s="2" t="s">
        <v>11</v>
      </c>
    </row>
    <row r="90" spans="1:9" x14ac:dyDescent="0.3">
      <c r="A90" s="2" t="s">
        <v>16</v>
      </c>
      <c r="B90" s="2">
        <v>50</v>
      </c>
      <c r="C90" s="2" t="s">
        <v>8</v>
      </c>
      <c r="D90" s="2" t="s">
        <v>12</v>
      </c>
      <c r="E90" s="2" t="s">
        <v>11</v>
      </c>
      <c r="F90" s="2" t="s">
        <v>11</v>
      </c>
      <c r="G90" s="2" t="s">
        <v>10</v>
      </c>
    </row>
    <row r="91" spans="1:9" x14ac:dyDescent="0.3">
      <c r="A91" s="2" t="s">
        <v>16</v>
      </c>
      <c r="B91" s="2">
        <v>50</v>
      </c>
      <c r="C91" s="2" t="s">
        <v>8</v>
      </c>
      <c r="D91" s="2" t="s">
        <v>12</v>
      </c>
      <c r="E91" s="2" t="s">
        <v>11</v>
      </c>
      <c r="F91" s="2" t="s">
        <v>10</v>
      </c>
      <c r="G91" s="2" t="s">
        <v>11</v>
      </c>
    </row>
    <row r="93" spans="1:9" x14ac:dyDescent="0.3">
      <c r="A93" s="4"/>
      <c r="B93" s="5" t="s">
        <v>18</v>
      </c>
      <c r="C93" s="6" t="s">
        <v>19</v>
      </c>
    </row>
    <row r="94" spans="1:9" x14ac:dyDescent="0.3">
      <c r="A94" s="5" t="s">
        <v>7</v>
      </c>
      <c r="B94" s="7">
        <f>1</f>
        <v>1</v>
      </c>
      <c r="C94" s="8">
        <f>B94/$B$96*LOG(B94/$B$96,2)</f>
        <v>-0.52832083357371873</v>
      </c>
    </row>
    <row r="95" spans="1:9" x14ac:dyDescent="0.3">
      <c r="A95" s="5" t="s">
        <v>16</v>
      </c>
      <c r="B95" s="7">
        <v>2</v>
      </c>
      <c r="C95" s="8">
        <f>B95/$B$96*LOG(B95/$B$96,2)</f>
        <v>-0.38997500048077083</v>
      </c>
    </row>
    <row r="96" spans="1:9" x14ac:dyDescent="0.3">
      <c r="A96" s="5" t="s">
        <v>20</v>
      </c>
      <c r="B96" s="7">
        <f>SUM(B94:B95)</f>
        <v>3</v>
      </c>
      <c r="C96" s="4"/>
    </row>
    <row r="98" spans="1:9" x14ac:dyDescent="0.3">
      <c r="A98" s="9" t="s">
        <v>21</v>
      </c>
      <c r="B98" s="10"/>
      <c r="C98" s="10"/>
    </row>
    <row r="99" spans="1:9" x14ac:dyDescent="0.3">
      <c r="A99" s="29" t="s">
        <v>37</v>
      </c>
      <c r="B99" s="29"/>
      <c r="C99" s="12">
        <f>-SUM(C94:C95)</f>
        <v>0.91829583405448956</v>
      </c>
      <c r="D99" s="28" t="s">
        <v>23</v>
      </c>
    </row>
    <row r="101" spans="1:9" x14ac:dyDescent="0.3">
      <c r="A101" s="3" t="s">
        <v>38</v>
      </c>
      <c r="B101" s="3"/>
      <c r="C101" s="3"/>
      <c r="D101" s="3"/>
      <c r="E101" s="3"/>
      <c r="F101" s="3"/>
      <c r="G101" s="3"/>
      <c r="H101" s="3"/>
      <c r="I101" s="3"/>
    </row>
    <row r="103" spans="1:9" x14ac:dyDescent="0.3">
      <c r="A103" s="4"/>
      <c r="B103" s="5" t="s">
        <v>18</v>
      </c>
      <c r="C103" s="5" t="s">
        <v>19</v>
      </c>
    </row>
    <row r="104" spans="1:9" x14ac:dyDescent="0.3">
      <c r="A104" s="5" t="s">
        <v>7</v>
      </c>
      <c r="B104" s="7">
        <f>COUNTIFS(A2:A21,A104,C2:C21,"postgrado")</f>
        <v>5</v>
      </c>
      <c r="C104" s="30">
        <f>B104/B106*LOG(B104/B106,2)</f>
        <v>-0.42379494069539858</v>
      </c>
    </row>
    <row r="105" spans="1:9" x14ac:dyDescent="0.3">
      <c r="A105" s="5" t="s">
        <v>16</v>
      </c>
      <c r="B105" s="7">
        <f>COUNTIFS(A2:A21,A105,C2:C21,"postgrado")</f>
        <v>3</v>
      </c>
      <c r="C105" s="30">
        <f>B105/B106*LOG(B105/B106,2)</f>
        <v>-0.53063906222956636</v>
      </c>
    </row>
    <row r="106" spans="1:9" x14ac:dyDescent="0.3">
      <c r="A106" s="5" t="s">
        <v>20</v>
      </c>
      <c r="B106" s="31">
        <f>SUM(B104:B105)</f>
        <v>8</v>
      </c>
    </row>
    <row r="107" spans="1:9" x14ac:dyDescent="0.3">
      <c r="A107" s="32" t="s">
        <v>39</v>
      </c>
      <c r="B107" s="33"/>
      <c r="C107" s="34">
        <f>-SUM(C104:C105)</f>
        <v>0.95443400292496494</v>
      </c>
    </row>
    <row r="109" spans="1:9" x14ac:dyDescent="0.3">
      <c r="A109" s="9" t="s">
        <v>29</v>
      </c>
      <c r="B109" s="9"/>
      <c r="C109" s="9"/>
    </row>
    <row r="110" spans="1:9" x14ac:dyDescent="0.3">
      <c r="A110" s="35" t="s">
        <v>40</v>
      </c>
      <c r="B110" s="35"/>
      <c r="C110" s="36">
        <f>C107-(B67*B70+B81*B84+B96*C99)/B106</f>
        <v>0.26571212738409777</v>
      </c>
      <c r="D110" s="28" t="s">
        <v>23</v>
      </c>
    </row>
  </sheetData>
  <mergeCells count="10">
    <mergeCell ref="D54:D55"/>
    <mergeCell ref="A99:B99"/>
    <mergeCell ref="A107:B107"/>
    <mergeCell ref="A110:B110"/>
    <mergeCell ref="B34:C34"/>
    <mergeCell ref="D34:F34"/>
    <mergeCell ref="B41:C41"/>
    <mergeCell ref="D41:F41"/>
    <mergeCell ref="B48:C48"/>
    <mergeCell ref="D48:F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DAMIAN CASAMEN ARIZO</dc:creator>
  <cp:lastModifiedBy>JORDAN DAMIAN CASAMEN ARIZO</cp:lastModifiedBy>
  <dcterms:created xsi:type="dcterms:W3CDTF">2026-03-20T20:08:18Z</dcterms:created>
  <dcterms:modified xsi:type="dcterms:W3CDTF">2026-03-20T20:08:41Z</dcterms:modified>
</cp:coreProperties>
</file>